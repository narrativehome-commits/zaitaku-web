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20\共有\書類\診療所\請求関連\"/>
    </mc:Choice>
  </mc:AlternateContent>
  <xr:revisionPtr revIDLastSave="0" documentId="13_ncr:1_{A8776470-7942-429E-8585-4846600F60DC}" xr6:coauthVersionLast="47" xr6:coauthVersionMax="47" xr10:uidLastSave="{00000000-0000-0000-0000-000000000000}"/>
  <bookViews>
    <workbookView xWindow="-120" yWindow="-120" windowWidth="29040" windowHeight="15720" xr2:uid="{4569860B-D4C3-4E91-9711-F651C6D61D96}"/>
  </bookViews>
  <sheets>
    <sheet name="R8.4" sheetId="1" r:id="rId1"/>
  </sheets>
  <externalReferences>
    <externalReference r:id="rId2"/>
  </externalReferences>
  <definedNames>
    <definedName name="_xlnm._FilterDatabase" localSheetId="0" hidden="1">'R8.4'!$B$1:$G$231</definedName>
    <definedName name="_xlnm.Print_Titles" localSheetId="0">'R8.4'!$1:$1</definedName>
    <definedName name="医学管理" localSheetId="0">[1]医学管理点数表!$A$45:$A$68</definedName>
    <definedName name="医学管理新" localSheetId="0">[1]医学管理点数表!$A$45:$A$67</definedName>
    <definedName name="住まい区分" localSheetId="0">[1]医学管理コード!$A$28:$A$45</definedName>
    <definedName name="転帰" localSheetId="0">[1]医学管理コード!$A$22:$A$26</definedName>
    <definedName name="負担割合" localSheetId="0">#REF!</definedName>
    <definedName name="負担割合">#REF!</definedName>
    <definedName name="薬局">[1]医学管理コード!$A$47:$A$48</definedName>
  </definedNames>
  <calcPr calcId="19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36" i="1" l="1"/>
  <c r="E237" i="1" s="1"/>
  <c r="E240" i="1" s="1"/>
  <c r="E235" i="1"/>
  <c r="E234" i="1"/>
  <c r="E233" i="1"/>
  <c r="E239" i="1" l="1"/>
  <c r="G230" i="1"/>
  <c r="F230" i="1"/>
</calcChain>
</file>

<file path=xl/sharedStrings.xml><?xml version="1.0" encoding="utf-8"?>
<sst xmlns="http://schemas.openxmlformats.org/spreadsheetml/2006/main" count="708" uniqueCount="296">
  <si>
    <t>通番</t>
  </si>
  <si>
    <t>患者コード</t>
    <phoneticPr fontId="2"/>
  </si>
  <si>
    <t>区分</t>
    <rPh sb="0" eb="2">
      <t>クブン</t>
    </rPh>
    <phoneticPr fontId="2"/>
  </si>
  <si>
    <t>氏名</t>
    <phoneticPr fontId="2"/>
  </si>
  <si>
    <t>別表
8-2</t>
    <rPh sb="0" eb="2">
      <t>ベッピョウ</t>
    </rPh>
    <phoneticPr fontId="2"/>
  </si>
  <si>
    <t>別表
8-3</t>
    <rPh sb="0" eb="2">
      <t>ベッピョウ</t>
    </rPh>
    <phoneticPr fontId="2"/>
  </si>
  <si>
    <t>認知症
自立度</t>
    <rPh sb="0" eb="3">
      <t>ニンチショウ</t>
    </rPh>
    <rPh sb="4" eb="7">
      <t>ジリツド</t>
    </rPh>
    <phoneticPr fontId="2"/>
  </si>
  <si>
    <t>NH</t>
  </si>
  <si>
    <t>池田　美代子</t>
    <rPh sb="0" eb="2">
      <t>イケダ</t>
    </rPh>
    <rPh sb="3" eb="6">
      <t>ミヨコ</t>
    </rPh>
    <phoneticPr fontId="2"/>
  </si>
  <si>
    <t>○</t>
    <phoneticPr fontId="2"/>
  </si>
  <si>
    <t>老松　邦雄</t>
  </si>
  <si>
    <t>行ラベル</t>
  </si>
  <si>
    <t>データの個数 / 医学管理
（経過措置期間）</t>
  </si>
  <si>
    <t>河合　初子</t>
  </si>
  <si>
    <t>2回軽2-9人</t>
  </si>
  <si>
    <t>桐木　芳雄</t>
    <rPh sb="0" eb="2">
      <t>キリノキ</t>
    </rPh>
    <rPh sb="3" eb="5">
      <t>ヨシオ</t>
    </rPh>
    <phoneticPr fontId="2"/>
  </si>
  <si>
    <t>2回重2-9人</t>
  </si>
  <si>
    <t>高橋　みき</t>
    <rPh sb="0" eb="2">
      <t>タカハシ</t>
    </rPh>
    <phoneticPr fontId="2"/>
  </si>
  <si>
    <t>がん末期</t>
  </si>
  <si>
    <t>萩原　靖子</t>
    <rPh sb="0" eb="2">
      <t>ハギワラ</t>
    </rPh>
    <rPh sb="3" eb="5">
      <t>ヤスコ</t>
    </rPh>
    <phoneticPr fontId="2"/>
  </si>
  <si>
    <t>保留</t>
  </si>
  <si>
    <t>府録　康男</t>
    <phoneticPr fontId="2"/>
  </si>
  <si>
    <t>施2回軽2-9人</t>
  </si>
  <si>
    <t>堀田　路子</t>
    <phoneticPr fontId="2"/>
  </si>
  <si>
    <t>施2回重2-9人</t>
  </si>
  <si>
    <t>NH</t>
    <phoneticPr fontId="2"/>
  </si>
  <si>
    <t>吉江　隆一</t>
  </si>
  <si>
    <t>2回軽10人超</t>
  </si>
  <si>
    <t>吉田　智彦</t>
    <rPh sb="0" eb="2">
      <t>ヨシダ</t>
    </rPh>
    <rPh sb="3" eb="5">
      <t>トモヒコ</t>
    </rPh>
    <phoneticPr fontId="2"/>
  </si>
  <si>
    <t>施2回軽1人</t>
  </si>
  <si>
    <t>あゆみ</t>
    <phoneticPr fontId="2"/>
  </si>
  <si>
    <t>戸澤　朝子</t>
    <phoneticPr fontId="2"/>
  </si>
  <si>
    <t>2回軽1人</t>
  </si>
  <si>
    <t>中田　美智子</t>
    <rPh sb="0" eb="2">
      <t>ナカダ</t>
    </rPh>
    <rPh sb="3" eb="6">
      <t>ミチコ</t>
    </rPh>
    <phoneticPr fontId="2"/>
  </si>
  <si>
    <t>1回軽1人</t>
  </si>
  <si>
    <t>埜村　昭子</t>
    <rPh sb="0" eb="2">
      <t>ノムラ</t>
    </rPh>
    <rPh sb="3" eb="5">
      <t>アキコ</t>
    </rPh>
    <phoneticPr fontId="2"/>
  </si>
  <si>
    <t>2回重1人</t>
  </si>
  <si>
    <t>蓮川　佑</t>
    <rPh sb="0" eb="2">
      <t>ハスカワ</t>
    </rPh>
    <rPh sb="3" eb="4">
      <t>タスク</t>
    </rPh>
    <phoneticPr fontId="2"/>
  </si>
  <si>
    <t>算定なし</t>
  </si>
  <si>
    <t>水口　助蔵</t>
    <rPh sb="0" eb="2">
      <t>ミズグチ</t>
    </rPh>
    <rPh sb="3" eb="4">
      <t>スケ</t>
    </rPh>
    <rPh sb="4" eb="5">
      <t>クラ</t>
    </rPh>
    <phoneticPr fontId="2"/>
  </si>
  <si>
    <t>(空白)</t>
  </si>
  <si>
    <t>ことほぎ</t>
    <phoneticPr fontId="2"/>
  </si>
  <si>
    <t>粟野　定芳</t>
    <rPh sb="0" eb="2">
      <t>アワノ</t>
    </rPh>
    <rPh sb="3" eb="4">
      <t>サダム</t>
    </rPh>
    <rPh sb="4" eb="5">
      <t>ヨシ</t>
    </rPh>
    <phoneticPr fontId="2"/>
  </si>
  <si>
    <t>1回軽2-9人</t>
  </si>
  <si>
    <t>石倉　律子</t>
    <rPh sb="0" eb="2">
      <t>イシクラ</t>
    </rPh>
    <rPh sb="3" eb="5">
      <t>リツコ</t>
    </rPh>
    <phoneticPr fontId="2"/>
  </si>
  <si>
    <t>施1回軽2-9人</t>
  </si>
  <si>
    <t>井上　礼子</t>
    <rPh sb="0" eb="2">
      <t>イノウエ</t>
    </rPh>
    <rPh sb="3" eb="5">
      <t>レイコ</t>
    </rPh>
    <phoneticPr fontId="2"/>
  </si>
  <si>
    <t>施2回軽10-19人</t>
  </si>
  <si>
    <t>太田　陽子</t>
    <rPh sb="0" eb="2">
      <t>オオタ</t>
    </rPh>
    <rPh sb="3" eb="5">
      <t>ヨウコ</t>
    </rPh>
    <phoneticPr fontId="2"/>
  </si>
  <si>
    <t>施2回重10-19人</t>
  </si>
  <si>
    <t>加賀見　光子</t>
    <rPh sb="0" eb="3">
      <t>カガミ</t>
    </rPh>
    <rPh sb="4" eb="6">
      <t>ミツコ</t>
    </rPh>
    <phoneticPr fontId="2"/>
  </si>
  <si>
    <t>施1回軽10-19人</t>
  </si>
  <si>
    <t>河合　英男</t>
    <rPh sb="0" eb="2">
      <t>カワイ</t>
    </rPh>
    <rPh sb="3" eb="5">
      <t>ヒデオ</t>
    </rPh>
    <phoneticPr fontId="2"/>
  </si>
  <si>
    <t>○
（R8.4～）</t>
    <phoneticPr fontId="2"/>
  </si>
  <si>
    <t>総計</t>
  </si>
  <si>
    <t>小松　よし子</t>
    <rPh sb="0" eb="2">
      <t>コマツ</t>
    </rPh>
    <rPh sb="5" eb="6">
      <t>コ</t>
    </rPh>
    <phoneticPr fontId="1"/>
  </si>
  <si>
    <t>城寶　幸一</t>
  </si>
  <si>
    <t>上銘　郁子</t>
    <phoneticPr fontId="2"/>
  </si>
  <si>
    <t>城川　静枝</t>
    <rPh sb="0" eb="2">
      <t>シロカワ</t>
    </rPh>
    <rPh sb="3" eb="5">
      <t>シズエ</t>
    </rPh>
    <phoneticPr fontId="2"/>
  </si>
  <si>
    <t>鳥越　喜恵子</t>
    <phoneticPr fontId="2"/>
  </si>
  <si>
    <t>中島　礼子</t>
    <rPh sb="0" eb="2">
      <t>ナカシマ</t>
    </rPh>
    <rPh sb="3" eb="5">
      <t>レイコ</t>
    </rPh>
    <phoneticPr fontId="2"/>
  </si>
  <si>
    <t>中村　朝子</t>
    <rPh sb="0" eb="2">
      <t>ナカムラ</t>
    </rPh>
    <rPh sb="3" eb="5">
      <t>アサコ</t>
    </rPh>
    <phoneticPr fontId="2"/>
  </si>
  <si>
    <t>根尾　裕子</t>
    <rPh sb="0" eb="2">
      <t>ネオ</t>
    </rPh>
    <rPh sb="3" eb="5">
      <t>ユウコ</t>
    </rPh>
    <phoneticPr fontId="2"/>
  </si>
  <si>
    <t>萩原　清子</t>
    <rPh sb="0" eb="2">
      <t>ハギワラ</t>
    </rPh>
    <rPh sb="3" eb="5">
      <t>キヨコ</t>
    </rPh>
    <phoneticPr fontId="1"/>
  </si>
  <si>
    <t>藤本　久美子</t>
    <phoneticPr fontId="2"/>
  </si>
  <si>
    <t>堀川　タミ子</t>
  </si>
  <si>
    <t>堀元　久子</t>
    <rPh sb="0" eb="2">
      <t>ホリモト</t>
    </rPh>
    <rPh sb="3" eb="5">
      <t>ヒサコ</t>
    </rPh>
    <phoneticPr fontId="1"/>
  </si>
  <si>
    <t>松田　好子</t>
    <rPh sb="0" eb="2">
      <t>マツダ</t>
    </rPh>
    <rPh sb="3" eb="5">
      <t>ヨシコ</t>
    </rPh>
    <phoneticPr fontId="1"/>
  </si>
  <si>
    <t>水戸　幸子</t>
    <rPh sb="0" eb="2">
      <t>ミト</t>
    </rPh>
    <rPh sb="3" eb="5">
      <t>サチコ</t>
    </rPh>
    <phoneticPr fontId="1"/>
  </si>
  <si>
    <t>森　なつ子</t>
  </si>
  <si>
    <t>ちゅーりっぷ</t>
  </si>
  <si>
    <t>東　修</t>
    <rPh sb="0" eb="1">
      <t>アズマ</t>
    </rPh>
    <rPh sb="2" eb="3">
      <t>オサム</t>
    </rPh>
    <phoneticPr fontId="2"/>
  </si>
  <si>
    <r>
      <t xml:space="preserve">(○)
</t>
    </r>
    <r>
      <rPr>
        <b/>
        <sz val="8"/>
        <color theme="1"/>
        <rFont val="游ゴシック"/>
        <family val="3"/>
        <charset val="128"/>
        <scheme val="minor"/>
      </rPr>
      <t>注射あれば</t>
    </r>
    <rPh sb="4" eb="6">
      <t>チュウシャ</t>
    </rPh>
    <phoneticPr fontId="2"/>
  </si>
  <si>
    <t>西村　君江</t>
    <rPh sb="0" eb="2">
      <t>ニシムラ</t>
    </rPh>
    <rPh sb="3" eb="5">
      <t>キミエ</t>
    </rPh>
    <phoneticPr fontId="2"/>
  </si>
  <si>
    <t>野原　彬孝</t>
  </si>
  <si>
    <t>長谷川　和夫</t>
    <rPh sb="0" eb="3">
      <t>ハセガワ</t>
    </rPh>
    <rPh sb="4" eb="6">
      <t>カズオ</t>
    </rPh>
    <phoneticPr fontId="2"/>
  </si>
  <si>
    <t>舟本　英子</t>
    <rPh sb="0" eb="2">
      <t>フナモト</t>
    </rPh>
    <rPh sb="3" eb="5">
      <t>エイコ</t>
    </rPh>
    <phoneticPr fontId="2"/>
  </si>
  <si>
    <r>
      <t xml:space="preserve">○
</t>
    </r>
    <r>
      <rPr>
        <b/>
        <sz val="8"/>
        <color theme="1"/>
        <rFont val="游ゴシック"/>
        <family val="3"/>
        <charset val="128"/>
        <scheme val="minor"/>
      </rPr>
      <t>注射あれば</t>
    </r>
    <rPh sb="2" eb="4">
      <t>チュウシャ</t>
    </rPh>
    <phoneticPr fontId="2"/>
  </si>
  <si>
    <t>絆・しょうぶ</t>
    <rPh sb="0" eb="1">
      <t>キズナ</t>
    </rPh>
    <phoneticPr fontId="2"/>
  </si>
  <si>
    <t>安念　智榮子</t>
  </si>
  <si>
    <t>老松　佐紀子</t>
    <rPh sb="0" eb="2">
      <t>オイマツ</t>
    </rPh>
    <rPh sb="3" eb="6">
      <t>サキコ</t>
    </rPh>
    <phoneticPr fontId="2"/>
  </si>
  <si>
    <t>大橋　善子</t>
    <rPh sb="0" eb="2">
      <t>オオハシ</t>
    </rPh>
    <rPh sb="3" eb="5">
      <t>ヨシコ</t>
    </rPh>
    <phoneticPr fontId="2"/>
  </si>
  <si>
    <t>大矢　文子</t>
    <rPh sb="0" eb="2">
      <t>オオヤ</t>
    </rPh>
    <rPh sb="3" eb="5">
      <t>フミコ</t>
    </rPh>
    <phoneticPr fontId="2"/>
  </si>
  <si>
    <t>絆・コスモス</t>
    <rPh sb="0" eb="1">
      <t>キズナ</t>
    </rPh>
    <phoneticPr fontId="2"/>
  </si>
  <si>
    <t>三部　和子</t>
    <rPh sb="0" eb="2">
      <t>サンブ</t>
    </rPh>
    <rPh sb="3" eb="5">
      <t>カズコ</t>
    </rPh>
    <phoneticPr fontId="2"/>
  </si>
  <si>
    <t>高畠　一子</t>
    <rPh sb="0" eb="2">
      <t>タカバタケ</t>
    </rPh>
    <rPh sb="3" eb="5">
      <t>カズコ</t>
    </rPh>
    <phoneticPr fontId="2"/>
  </si>
  <si>
    <t>谷口　榮子</t>
    <rPh sb="0" eb="2">
      <t>タニグチ</t>
    </rPh>
    <rPh sb="3" eb="5">
      <t>エイコ</t>
    </rPh>
    <phoneticPr fontId="2"/>
  </si>
  <si>
    <t>寺井　早智子</t>
    <rPh sb="0" eb="2">
      <t>テライ</t>
    </rPh>
    <rPh sb="3" eb="6">
      <t>サチコ</t>
    </rPh>
    <phoneticPr fontId="2"/>
  </si>
  <si>
    <t>中川　美智枝</t>
    <rPh sb="0" eb="1">
      <t>ナカ</t>
    </rPh>
    <rPh sb="1" eb="2">
      <t>カワ</t>
    </rPh>
    <rPh sb="3" eb="6">
      <t>ミチエ</t>
    </rPh>
    <phoneticPr fontId="2"/>
  </si>
  <si>
    <t>畑崎　彰</t>
    <rPh sb="0" eb="2">
      <t>ハタサキ</t>
    </rPh>
    <rPh sb="3" eb="4">
      <t>アキラ</t>
    </rPh>
    <phoneticPr fontId="2"/>
  </si>
  <si>
    <t>畑崎　浪子</t>
    <rPh sb="0" eb="2">
      <t>ハタサキ</t>
    </rPh>
    <rPh sb="3" eb="5">
      <t>ナミコ</t>
    </rPh>
    <phoneticPr fontId="2"/>
  </si>
  <si>
    <t>細川　美喜</t>
  </si>
  <si>
    <t>松田　ちゑ子</t>
    <rPh sb="0" eb="2">
      <t>マツダ</t>
    </rPh>
    <rPh sb="5" eb="6">
      <t>コ</t>
    </rPh>
    <phoneticPr fontId="2"/>
  </si>
  <si>
    <t>山本　すみ</t>
  </si>
  <si>
    <t>若森　すみを</t>
    <rPh sb="0" eb="2">
      <t>ワカモリ</t>
    </rPh>
    <phoneticPr fontId="2"/>
  </si>
  <si>
    <t>白寿</t>
    <rPh sb="0" eb="2">
      <t>ハクジュ</t>
    </rPh>
    <phoneticPr fontId="2"/>
  </si>
  <si>
    <t>飯塚　嘉代</t>
    <rPh sb="0" eb="2">
      <t>イイヅカ</t>
    </rPh>
    <rPh sb="3" eb="5">
      <t>カヨ</t>
    </rPh>
    <phoneticPr fontId="2"/>
  </si>
  <si>
    <t>市堰　百合子</t>
    <rPh sb="0" eb="1">
      <t>シ</t>
    </rPh>
    <rPh sb="1" eb="2">
      <t>セキ</t>
    </rPh>
    <rPh sb="3" eb="6">
      <t>ユリコ</t>
    </rPh>
    <phoneticPr fontId="2"/>
  </si>
  <si>
    <t>瀬戸　正</t>
    <rPh sb="0" eb="2">
      <t>セト</t>
    </rPh>
    <rPh sb="3" eb="4">
      <t>タダシ</t>
    </rPh>
    <phoneticPr fontId="2"/>
  </si>
  <si>
    <t>武部　雪子</t>
    <rPh sb="0" eb="2">
      <t>タケベ</t>
    </rPh>
    <rPh sb="3" eb="5">
      <t>ユキコ</t>
    </rPh>
    <phoneticPr fontId="2"/>
  </si>
  <si>
    <t>末永　チヅ</t>
    <phoneticPr fontId="2"/>
  </si>
  <si>
    <t>ニチイ石丸
2F</t>
    <rPh sb="3" eb="5">
      <t>イシマル</t>
    </rPh>
    <phoneticPr fontId="2"/>
  </si>
  <si>
    <t>浅島　英美子</t>
  </si>
  <si>
    <t>ニチイ石丸
1F</t>
    <rPh sb="3" eb="5">
      <t>イシマル</t>
    </rPh>
    <phoneticPr fontId="2"/>
  </si>
  <si>
    <t>安藤　嬉美子</t>
  </si>
  <si>
    <t>大浦　房枝</t>
  </si>
  <si>
    <t>亀永　由子</t>
    <rPh sb="0" eb="2">
      <t>カメナガ</t>
    </rPh>
    <rPh sb="3" eb="5">
      <t>ヨシコ</t>
    </rPh>
    <phoneticPr fontId="2"/>
  </si>
  <si>
    <t>早苗　和子</t>
    <phoneticPr fontId="2"/>
  </si>
  <si>
    <t>島田　和美</t>
    <rPh sb="0" eb="2">
      <t>シマダ</t>
    </rPh>
    <rPh sb="3" eb="5">
      <t>カズミ</t>
    </rPh>
    <phoneticPr fontId="2"/>
  </si>
  <si>
    <t>島田　君子</t>
    <rPh sb="0" eb="2">
      <t>シマダ</t>
    </rPh>
    <rPh sb="3" eb="5">
      <t>キミコ</t>
    </rPh>
    <phoneticPr fontId="2"/>
  </si>
  <si>
    <t>髙見　いく代</t>
    <rPh sb="0" eb="2">
      <t>タカミ</t>
    </rPh>
    <rPh sb="5" eb="6">
      <t>ヨ</t>
    </rPh>
    <phoneticPr fontId="2"/>
  </si>
  <si>
    <t>中川　峰子</t>
    <rPh sb="0" eb="2">
      <t>ナカガワ</t>
    </rPh>
    <rPh sb="3" eb="5">
      <t>ミネコ</t>
    </rPh>
    <phoneticPr fontId="2"/>
  </si>
  <si>
    <t>中島　英二</t>
    <rPh sb="0" eb="2">
      <t>ナカシマ</t>
    </rPh>
    <rPh sb="3" eb="5">
      <t>エイジ</t>
    </rPh>
    <phoneticPr fontId="2"/>
  </si>
  <si>
    <t>中道　一郎</t>
    <rPh sb="0" eb="2">
      <t>ナカミチ</t>
    </rPh>
    <rPh sb="3" eb="5">
      <t>イチロウ</t>
    </rPh>
    <phoneticPr fontId="2"/>
  </si>
  <si>
    <t>松本　美知代</t>
  </si>
  <si>
    <t>山田　松榮</t>
    <rPh sb="0" eb="2">
      <t>ヤマダ</t>
    </rPh>
    <rPh sb="3" eb="5">
      <t>マツエイ</t>
    </rPh>
    <phoneticPr fontId="2"/>
  </si>
  <si>
    <t>こごみ</t>
  </si>
  <si>
    <t>大屋　清一</t>
    <rPh sb="0" eb="2">
      <t>オオヤ</t>
    </rPh>
    <rPh sb="3" eb="5">
      <t>セイイチ</t>
    </rPh>
    <phoneticPr fontId="2"/>
  </si>
  <si>
    <t>小川　純司</t>
    <rPh sb="0" eb="2">
      <t>オガワ</t>
    </rPh>
    <rPh sb="3" eb="5">
      <t>ジュンジ</t>
    </rPh>
    <phoneticPr fontId="2"/>
  </si>
  <si>
    <t>小川　則子</t>
    <rPh sb="0" eb="2">
      <t>オガワ</t>
    </rPh>
    <rPh sb="3" eb="5">
      <t>ノリコ</t>
    </rPh>
    <phoneticPr fontId="2"/>
  </si>
  <si>
    <t>片山　慎也</t>
    <rPh sb="0" eb="2">
      <t>カタヤマ</t>
    </rPh>
    <rPh sb="3" eb="5">
      <t>シンヤ</t>
    </rPh>
    <phoneticPr fontId="2"/>
  </si>
  <si>
    <t>小林　幸子</t>
    <rPh sb="0" eb="2">
      <t>コバヤシ</t>
    </rPh>
    <rPh sb="3" eb="5">
      <t>サチコ</t>
    </rPh>
    <phoneticPr fontId="2"/>
  </si>
  <si>
    <t>図書　あい子</t>
    <rPh sb="0" eb="2">
      <t>トショ</t>
    </rPh>
    <rPh sb="5" eb="6">
      <t>コ</t>
    </rPh>
    <phoneticPr fontId="2"/>
  </si>
  <si>
    <t>髙橋　清</t>
    <phoneticPr fontId="2"/>
  </si>
  <si>
    <t>中田　一</t>
    <rPh sb="0" eb="2">
      <t>ナカダ</t>
    </rPh>
    <rPh sb="3" eb="4">
      <t>イチ</t>
    </rPh>
    <phoneticPr fontId="2"/>
  </si>
  <si>
    <t>沼田　喜代美</t>
    <rPh sb="0" eb="2">
      <t>ヌマタ</t>
    </rPh>
    <rPh sb="3" eb="6">
      <t>キヨミ</t>
    </rPh>
    <phoneticPr fontId="2"/>
  </si>
  <si>
    <t>松本　博</t>
    <rPh sb="0" eb="2">
      <t>マツモト</t>
    </rPh>
    <rPh sb="3" eb="4">
      <t>ヒロシ</t>
    </rPh>
    <phoneticPr fontId="2"/>
  </si>
  <si>
    <t>こごみ</t>
    <phoneticPr fontId="2"/>
  </si>
  <si>
    <t>蓑口　政行</t>
    <rPh sb="0" eb="1">
      <t>ミノ</t>
    </rPh>
    <rPh sb="1" eb="2">
      <t>グチ</t>
    </rPh>
    <rPh sb="3" eb="5">
      <t>マサユキ</t>
    </rPh>
    <phoneticPr fontId="2"/>
  </si>
  <si>
    <t>山口　恵子</t>
    <rPh sb="0" eb="2">
      <t>ヤマグチ</t>
    </rPh>
    <rPh sb="3" eb="5">
      <t>ケイコ</t>
    </rPh>
    <phoneticPr fontId="2"/>
  </si>
  <si>
    <t>湯尾　彰造</t>
    <rPh sb="0" eb="1">
      <t>ユ</t>
    </rPh>
    <rPh sb="1" eb="2">
      <t>オ</t>
    </rPh>
    <rPh sb="3" eb="5">
      <t>ショウゾウ</t>
    </rPh>
    <phoneticPr fontId="2"/>
  </si>
  <si>
    <t>義煎　智秋</t>
  </si>
  <si>
    <t>鷲尾　幸司</t>
    <rPh sb="0" eb="2">
      <t>ワシオ</t>
    </rPh>
    <rPh sb="3" eb="5">
      <t>コウジ</t>
    </rPh>
    <phoneticPr fontId="2"/>
  </si>
  <si>
    <t>たかのす
コスモス</t>
    <phoneticPr fontId="2"/>
  </si>
  <si>
    <t>厚地　春子</t>
    <rPh sb="0" eb="2">
      <t>アツチ</t>
    </rPh>
    <rPh sb="3" eb="5">
      <t>ハルコ</t>
    </rPh>
    <phoneticPr fontId="2"/>
  </si>
  <si>
    <t>安念　とし子</t>
    <rPh sb="0" eb="2">
      <t>アンネン</t>
    </rPh>
    <rPh sb="5" eb="6">
      <t>コ</t>
    </rPh>
    <phoneticPr fontId="2"/>
  </si>
  <si>
    <t>石倉　美知子</t>
    <phoneticPr fontId="2"/>
  </si>
  <si>
    <t>たかのす
チューリップ</t>
    <phoneticPr fontId="2"/>
  </si>
  <si>
    <t>奥井　和子</t>
    <rPh sb="0" eb="2">
      <t>オクイ</t>
    </rPh>
    <rPh sb="3" eb="5">
      <t>カズコ</t>
    </rPh>
    <phoneticPr fontId="2"/>
  </si>
  <si>
    <t>上條　エミ子</t>
    <rPh sb="0" eb="1">
      <t>カミ</t>
    </rPh>
    <rPh sb="1" eb="2">
      <t>ジョウ</t>
    </rPh>
    <rPh sb="5" eb="6">
      <t>コ</t>
    </rPh>
    <phoneticPr fontId="2"/>
  </si>
  <si>
    <t>川嶋　靖子</t>
    <phoneticPr fontId="2"/>
  </si>
  <si>
    <t>北村　富子</t>
    <rPh sb="0" eb="2">
      <t>キタムラ</t>
    </rPh>
    <rPh sb="3" eb="5">
      <t>トミコ</t>
    </rPh>
    <phoneticPr fontId="2"/>
  </si>
  <si>
    <t>小山　ユキ</t>
    <rPh sb="0" eb="2">
      <t>コヤマ</t>
    </rPh>
    <phoneticPr fontId="2"/>
  </si>
  <si>
    <t>作田　喜初</t>
    <rPh sb="0" eb="2">
      <t>サクダ</t>
    </rPh>
    <rPh sb="3" eb="5">
      <t>キハツ</t>
    </rPh>
    <phoneticPr fontId="2"/>
  </si>
  <si>
    <t>清水　千榮子</t>
  </si>
  <si>
    <t>野倉　眞紗子</t>
    <rPh sb="0" eb="2">
      <t>ノクラ</t>
    </rPh>
    <rPh sb="3" eb="4">
      <t>マ</t>
    </rPh>
    <rPh sb="4" eb="5">
      <t>サ</t>
    </rPh>
    <rPh sb="5" eb="6">
      <t>コ</t>
    </rPh>
    <phoneticPr fontId="2"/>
  </si>
  <si>
    <t>長谷川　まゆみ</t>
    <rPh sb="0" eb="3">
      <t>ハセガワ</t>
    </rPh>
    <phoneticPr fontId="2"/>
  </si>
  <si>
    <t>八田　英一</t>
    <rPh sb="0" eb="2">
      <t>ハッタ</t>
    </rPh>
    <rPh sb="3" eb="5">
      <t>ヒデカズ</t>
    </rPh>
    <phoneticPr fontId="2"/>
  </si>
  <si>
    <t>林　ちづ子</t>
    <rPh sb="0" eb="1">
      <t>ハヤシ</t>
    </rPh>
    <rPh sb="4" eb="5">
      <t>コ</t>
    </rPh>
    <phoneticPr fontId="2"/>
  </si>
  <si>
    <t>平木　玉枝</t>
    <rPh sb="0" eb="2">
      <t>ヒラキ</t>
    </rPh>
    <rPh sb="3" eb="5">
      <t>タマエ</t>
    </rPh>
    <phoneticPr fontId="2"/>
  </si>
  <si>
    <t>コミュニティとなみ</t>
    <phoneticPr fontId="2"/>
  </si>
  <si>
    <t>五十嵐　小枝子</t>
    <rPh sb="0" eb="3">
      <t>イガラシ</t>
    </rPh>
    <rPh sb="4" eb="7">
      <t>サエコ</t>
    </rPh>
    <phoneticPr fontId="2"/>
  </si>
  <si>
    <t>境　典子</t>
    <rPh sb="0" eb="1">
      <t>サカイ</t>
    </rPh>
    <rPh sb="2" eb="4">
      <t>ノリコ</t>
    </rPh>
    <phoneticPr fontId="2"/>
  </si>
  <si>
    <t>杉谷　茂</t>
    <rPh sb="0" eb="2">
      <t>スギタニ</t>
    </rPh>
    <rPh sb="3" eb="4">
      <t>シゲル</t>
    </rPh>
    <phoneticPr fontId="2"/>
  </si>
  <si>
    <t>田畑　史朗</t>
    <rPh sb="0" eb="2">
      <t>タバタ</t>
    </rPh>
    <rPh sb="3" eb="5">
      <t>シロウ</t>
    </rPh>
    <phoneticPr fontId="2"/>
  </si>
  <si>
    <t>GHすぎのき1F</t>
  </si>
  <si>
    <t>安念　慧子</t>
    <rPh sb="0" eb="2">
      <t>アンネン</t>
    </rPh>
    <rPh sb="3" eb="5">
      <t>ケイコ</t>
    </rPh>
    <phoneticPr fontId="2"/>
  </si>
  <si>
    <t>GHすぎのき1F</t>
    <phoneticPr fontId="2"/>
  </si>
  <si>
    <t>安念　正義</t>
    <rPh sb="0" eb="2">
      <t>アンネン</t>
    </rPh>
    <rPh sb="3" eb="5">
      <t>マサヨシ</t>
    </rPh>
    <phoneticPr fontId="2"/>
  </si>
  <si>
    <t>GHすぎのき2F</t>
  </si>
  <si>
    <t>和泉　芳子</t>
  </si>
  <si>
    <t>小林　順子</t>
  </si>
  <si>
    <t>鈴木　サチ子</t>
  </si>
  <si>
    <t>砂田　俊子</t>
  </si>
  <si>
    <t>高橋　文子</t>
  </si>
  <si>
    <t>野原　文子</t>
  </si>
  <si>
    <t>GHすぎのき2F</t>
    <phoneticPr fontId="2"/>
  </si>
  <si>
    <t>原田　能子</t>
  </si>
  <si>
    <t>横川　初枝</t>
  </si>
  <si>
    <t>いなほの里</t>
    <rPh sb="4" eb="5">
      <t>サト</t>
    </rPh>
    <phoneticPr fontId="2"/>
  </si>
  <si>
    <t>奥野　美智枝</t>
    <rPh sb="0" eb="2">
      <t>オクノ</t>
    </rPh>
    <rPh sb="3" eb="6">
      <t>ミチエ</t>
    </rPh>
    <phoneticPr fontId="2"/>
  </si>
  <si>
    <t>中島　愛子</t>
    <rPh sb="3" eb="5">
      <t>アイコ</t>
    </rPh>
    <phoneticPr fontId="2"/>
  </si>
  <si>
    <t>第2ほほえみ館</t>
    <rPh sb="0" eb="1">
      <t>ダイ</t>
    </rPh>
    <rPh sb="6" eb="7">
      <t>カン</t>
    </rPh>
    <phoneticPr fontId="2"/>
  </si>
  <si>
    <t>髙嶋　朝子</t>
    <rPh sb="0" eb="2">
      <t>タカシマ</t>
    </rPh>
    <rPh sb="3" eb="5">
      <t>アサコ</t>
    </rPh>
    <phoneticPr fontId="2"/>
  </si>
  <si>
    <t>山岸　秀盛</t>
    <rPh sb="0" eb="2">
      <t>ヤマギシ</t>
    </rPh>
    <rPh sb="3" eb="5">
      <t>ヒデモリ</t>
    </rPh>
    <phoneticPr fontId="2"/>
  </si>
  <si>
    <t>自宅</t>
    <rPh sb="0" eb="2">
      <t>ジタク</t>
    </rPh>
    <phoneticPr fontId="2"/>
  </si>
  <si>
    <t>青山　健一</t>
    <rPh sb="0" eb="2">
      <t>アオヤマ</t>
    </rPh>
    <rPh sb="3" eb="5">
      <t>ケンイチ</t>
    </rPh>
    <phoneticPr fontId="2"/>
  </si>
  <si>
    <t>青山　久子</t>
    <rPh sb="0" eb="2">
      <t>アオヤマ</t>
    </rPh>
    <rPh sb="3" eb="5">
      <t>ヒサコ</t>
    </rPh>
    <phoneticPr fontId="2"/>
  </si>
  <si>
    <t>浅田　順子</t>
    <rPh sb="0" eb="2">
      <t>アサダ</t>
    </rPh>
    <rPh sb="3" eb="5">
      <t>ジュンコ</t>
    </rPh>
    <phoneticPr fontId="2"/>
  </si>
  <si>
    <t>安念　邦夫</t>
    <rPh sb="0" eb="2">
      <t>アンネン</t>
    </rPh>
    <rPh sb="3" eb="5">
      <t>クニオ</t>
    </rPh>
    <phoneticPr fontId="2"/>
  </si>
  <si>
    <t>井窪　美貴枝</t>
    <rPh sb="0" eb="2">
      <t>イクボ</t>
    </rPh>
    <rPh sb="3" eb="6">
      <t>ミキエダ</t>
    </rPh>
    <phoneticPr fontId="2"/>
  </si>
  <si>
    <t>石井　悦子</t>
    <rPh sb="0" eb="2">
      <t>イシイ</t>
    </rPh>
    <rPh sb="3" eb="5">
      <t>エツコ</t>
    </rPh>
    <phoneticPr fontId="2"/>
  </si>
  <si>
    <t>石田　宗雄</t>
  </si>
  <si>
    <t>石丸　恵里</t>
  </si>
  <si>
    <t>伊藤　博芳</t>
    <rPh sb="0" eb="2">
      <t>イトウ</t>
    </rPh>
    <rPh sb="3" eb="4">
      <t>ハク</t>
    </rPh>
    <rPh sb="4" eb="5">
      <t>ヨシ</t>
    </rPh>
    <phoneticPr fontId="2"/>
  </si>
  <si>
    <t>稲垣　まき子</t>
    <rPh sb="0" eb="2">
      <t>イナガキ</t>
    </rPh>
    <rPh sb="5" eb="6">
      <t>コ</t>
    </rPh>
    <phoneticPr fontId="2"/>
  </si>
  <si>
    <t>稲川　繁一</t>
    <rPh sb="0" eb="2">
      <t>イナガワ</t>
    </rPh>
    <rPh sb="3" eb="5">
      <t>シゲカズ</t>
    </rPh>
    <phoneticPr fontId="2"/>
  </si>
  <si>
    <t>今井　秋子</t>
    <rPh sb="0" eb="2">
      <t>イマイ</t>
    </rPh>
    <rPh sb="3" eb="5">
      <t>アキコ</t>
    </rPh>
    <phoneticPr fontId="2"/>
  </si>
  <si>
    <t>今井　信子</t>
    <rPh sb="0" eb="2">
      <t>イマイ</t>
    </rPh>
    <rPh sb="3" eb="5">
      <t>ノブコ</t>
    </rPh>
    <phoneticPr fontId="2"/>
  </si>
  <si>
    <t>今井　葉末</t>
    <rPh sb="0" eb="2">
      <t>イマイ</t>
    </rPh>
    <rPh sb="3" eb="5">
      <t>ハズエ</t>
    </rPh>
    <phoneticPr fontId="2"/>
  </si>
  <si>
    <t>今井　秀樹</t>
    <rPh sb="0" eb="2">
      <t>イマイ</t>
    </rPh>
    <rPh sb="3" eb="5">
      <t>ヒデキ</t>
    </rPh>
    <phoneticPr fontId="2"/>
  </si>
  <si>
    <t>今井　良二</t>
  </si>
  <si>
    <t>岩崎　奈月</t>
    <rPh sb="0" eb="2">
      <t>イワサキ</t>
    </rPh>
    <rPh sb="3" eb="4">
      <t>ナ</t>
    </rPh>
    <rPh sb="4" eb="5">
      <t>ツキ</t>
    </rPh>
    <phoneticPr fontId="2"/>
  </si>
  <si>
    <t>浦井　笑子</t>
    <rPh sb="0" eb="2">
      <t>ウライ</t>
    </rPh>
    <rPh sb="3" eb="5">
      <t>エミコ</t>
    </rPh>
    <phoneticPr fontId="2"/>
  </si>
  <si>
    <t>江田　かずい</t>
    <rPh sb="0" eb="2">
      <t>エダ</t>
    </rPh>
    <phoneticPr fontId="2"/>
  </si>
  <si>
    <t>太田　つや子</t>
    <phoneticPr fontId="2"/>
  </si>
  <si>
    <t>岡田　敦子</t>
    <rPh sb="0" eb="2">
      <t>オカダ</t>
    </rPh>
    <rPh sb="3" eb="5">
      <t>アツコ</t>
    </rPh>
    <phoneticPr fontId="2"/>
  </si>
  <si>
    <t>奥村　ますみ</t>
  </si>
  <si>
    <t>尾田　富藏</t>
    <rPh sb="3" eb="4">
      <t>トミ</t>
    </rPh>
    <rPh sb="4" eb="5">
      <t>ゾウ</t>
    </rPh>
    <phoneticPr fontId="2"/>
  </si>
  <si>
    <t>角藤　猛</t>
    <rPh sb="0" eb="2">
      <t>カクドウ</t>
    </rPh>
    <rPh sb="3" eb="4">
      <t>タケシ</t>
    </rPh>
    <phoneticPr fontId="2"/>
  </si>
  <si>
    <t>加藤　豊始</t>
    <rPh sb="0" eb="2">
      <t>カトウ</t>
    </rPh>
    <rPh sb="3" eb="4">
      <t>ユタカ</t>
    </rPh>
    <rPh sb="4" eb="5">
      <t>ハジ</t>
    </rPh>
    <phoneticPr fontId="2"/>
  </si>
  <si>
    <t>金田　安夫</t>
    <rPh sb="0" eb="2">
      <t>カネダ</t>
    </rPh>
    <rPh sb="3" eb="5">
      <t>ヤスオ</t>
    </rPh>
    <phoneticPr fontId="2"/>
  </si>
  <si>
    <t>河合　潤子</t>
    <rPh sb="0" eb="2">
      <t>カワイ</t>
    </rPh>
    <rPh sb="3" eb="5">
      <t>ジュンコ</t>
    </rPh>
    <phoneticPr fontId="2"/>
  </si>
  <si>
    <t>川合　美智子</t>
    <rPh sb="0" eb="2">
      <t>カワイ</t>
    </rPh>
    <rPh sb="3" eb="6">
      <t>ミチコ</t>
    </rPh>
    <phoneticPr fontId="2"/>
  </si>
  <si>
    <t>川口　洋子</t>
    <rPh sb="0" eb="2">
      <t>カワグチ</t>
    </rPh>
    <rPh sb="3" eb="5">
      <t>ヨウコ</t>
    </rPh>
    <phoneticPr fontId="2"/>
  </si>
  <si>
    <t>河原　久美子</t>
    <rPh sb="0" eb="2">
      <t>カワハラ</t>
    </rPh>
    <rPh sb="3" eb="6">
      <t>クミコ</t>
    </rPh>
    <phoneticPr fontId="2"/>
  </si>
  <si>
    <t>菊野　妙子</t>
    <rPh sb="0" eb="2">
      <t>キクノ</t>
    </rPh>
    <rPh sb="3" eb="5">
      <t>タエコ</t>
    </rPh>
    <phoneticPr fontId="2"/>
  </si>
  <si>
    <t>喜多　禮子</t>
  </si>
  <si>
    <t>清原　久美子</t>
    <phoneticPr fontId="2"/>
  </si>
  <si>
    <t>五島　優子</t>
    <rPh sb="0" eb="2">
      <t>ゴシマ</t>
    </rPh>
    <rPh sb="3" eb="5">
      <t>ユウコ</t>
    </rPh>
    <phoneticPr fontId="2"/>
  </si>
  <si>
    <t>後東　弘子</t>
    <rPh sb="0" eb="2">
      <t>ゴトウ</t>
    </rPh>
    <rPh sb="3" eb="5">
      <t>ヒロコ</t>
    </rPh>
    <phoneticPr fontId="2"/>
  </si>
  <si>
    <t>齊藤　榮子</t>
  </si>
  <si>
    <t>坂井　多鶴夫</t>
    <rPh sb="0" eb="2">
      <t>サカイ</t>
    </rPh>
    <rPh sb="3" eb="4">
      <t>タ</t>
    </rPh>
    <rPh sb="4" eb="6">
      <t>ツルオ</t>
    </rPh>
    <phoneticPr fontId="2"/>
  </si>
  <si>
    <t>境　峰子</t>
    <phoneticPr fontId="2"/>
  </si>
  <si>
    <t>佐野　辰雄</t>
    <rPh sb="0" eb="2">
      <t>サノ</t>
    </rPh>
    <rPh sb="3" eb="5">
      <t>タツオ</t>
    </rPh>
    <phoneticPr fontId="2"/>
  </si>
  <si>
    <t>島　修</t>
    <rPh sb="0" eb="1">
      <t>シマ</t>
    </rPh>
    <rPh sb="2" eb="3">
      <t>オサム</t>
    </rPh>
    <phoneticPr fontId="2"/>
  </si>
  <si>
    <t>島　孝志</t>
    <rPh sb="0" eb="1">
      <t>シマ</t>
    </rPh>
    <rPh sb="2" eb="4">
      <t>タカシ</t>
    </rPh>
    <phoneticPr fontId="2"/>
  </si>
  <si>
    <t>清水　道子</t>
    <rPh sb="0" eb="2">
      <t>シミズ</t>
    </rPh>
    <rPh sb="3" eb="5">
      <t>ミチコ</t>
    </rPh>
    <phoneticPr fontId="2"/>
  </si>
  <si>
    <t>新町　彦二</t>
    <rPh sb="0" eb="2">
      <t>シンマチ</t>
    </rPh>
    <rPh sb="3" eb="4">
      <t>ヒコ</t>
    </rPh>
    <rPh sb="4" eb="5">
      <t>ニ</t>
    </rPh>
    <phoneticPr fontId="2"/>
  </si>
  <si>
    <t>菅野　米雄</t>
    <rPh sb="0" eb="2">
      <t>スガノ</t>
    </rPh>
    <rPh sb="3" eb="5">
      <t>ヨネオ</t>
    </rPh>
    <phoneticPr fontId="2"/>
  </si>
  <si>
    <t>砂田　里美</t>
    <rPh sb="0" eb="2">
      <t>スナダ</t>
    </rPh>
    <rPh sb="3" eb="5">
      <t>サトミ</t>
    </rPh>
    <phoneticPr fontId="2"/>
  </si>
  <si>
    <t>清玄寺　勉</t>
    <rPh sb="4" eb="5">
      <t>ツトム</t>
    </rPh>
    <phoneticPr fontId="2"/>
  </si>
  <si>
    <t>清玄寺　壽子</t>
    <rPh sb="4" eb="5">
      <t>ジュ</t>
    </rPh>
    <phoneticPr fontId="2"/>
  </si>
  <si>
    <t>高池　慶麿</t>
    <phoneticPr fontId="2"/>
  </si>
  <si>
    <t>高木　愛子</t>
    <rPh sb="0" eb="2">
      <t>タカギ</t>
    </rPh>
    <rPh sb="3" eb="5">
      <t>アイコ</t>
    </rPh>
    <phoneticPr fontId="2"/>
  </si>
  <si>
    <t>髙木　勇信</t>
  </si>
  <si>
    <t>髙田　孝子</t>
    <phoneticPr fontId="2"/>
  </si>
  <si>
    <t>髙田　俊夫</t>
    <rPh sb="0" eb="2">
      <t>タカタ</t>
    </rPh>
    <rPh sb="3" eb="5">
      <t>トシオ</t>
    </rPh>
    <phoneticPr fontId="2"/>
  </si>
  <si>
    <t>田島　すみ子</t>
    <rPh sb="0" eb="2">
      <t>タジマ</t>
    </rPh>
    <rPh sb="5" eb="6">
      <t>コ</t>
    </rPh>
    <phoneticPr fontId="2"/>
  </si>
  <si>
    <t>田島　由美子</t>
  </si>
  <si>
    <t>橘　克子</t>
    <rPh sb="0" eb="1">
      <t>タチバナ</t>
    </rPh>
    <rPh sb="2" eb="4">
      <t>カツコ</t>
    </rPh>
    <phoneticPr fontId="2"/>
  </si>
  <si>
    <t>橘　幸子</t>
    <rPh sb="0" eb="1">
      <t>タチバナ</t>
    </rPh>
    <rPh sb="2" eb="4">
      <t>ユキコ</t>
    </rPh>
    <phoneticPr fontId="2"/>
  </si>
  <si>
    <t>千葉東　豊一</t>
    <phoneticPr fontId="2"/>
  </si>
  <si>
    <t>辻　昭男</t>
  </si>
  <si>
    <t>辻　一雄</t>
  </si>
  <si>
    <t>土田　光枝</t>
  </si>
  <si>
    <t>富樫　久美子</t>
    <rPh sb="0" eb="2">
      <t>トガシ</t>
    </rPh>
    <rPh sb="3" eb="6">
      <t>クミコ</t>
    </rPh>
    <phoneticPr fontId="2"/>
  </si>
  <si>
    <t>戸田　美知榮</t>
    <rPh sb="0" eb="2">
      <t>トダ</t>
    </rPh>
    <rPh sb="3" eb="5">
      <t>ミチ</t>
    </rPh>
    <rPh sb="5" eb="6">
      <t>エイ</t>
    </rPh>
    <phoneticPr fontId="2"/>
  </si>
  <si>
    <t>中島　昱代</t>
    <phoneticPr fontId="2"/>
  </si>
  <si>
    <t>中島　サチ子</t>
    <rPh sb="0" eb="2">
      <t>ナカシマ</t>
    </rPh>
    <rPh sb="5" eb="6">
      <t>コ</t>
    </rPh>
    <phoneticPr fontId="2"/>
  </si>
  <si>
    <t>中島　重男</t>
    <rPh sb="0" eb="2">
      <t>ナカシマ</t>
    </rPh>
    <rPh sb="3" eb="4">
      <t>シゲ</t>
    </rPh>
    <rPh sb="4" eb="5">
      <t>オトコ</t>
    </rPh>
    <phoneticPr fontId="2"/>
  </si>
  <si>
    <t>中寺　力</t>
    <rPh sb="0" eb="1">
      <t>ナカ</t>
    </rPh>
    <rPh sb="1" eb="2">
      <t>テラ</t>
    </rPh>
    <rPh sb="3" eb="4">
      <t>チカラ</t>
    </rPh>
    <phoneticPr fontId="2"/>
  </si>
  <si>
    <t>永田　圭治</t>
    <phoneticPr fontId="2"/>
  </si>
  <si>
    <t>長田　信子</t>
    <rPh sb="0" eb="2">
      <t>ナガタ</t>
    </rPh>
    <rPh sb="3" eb="5">
      <t>ノブコ</t>
    </rPh>
    <phoneticPr fontId="2"/>
  </si>
  <si>
    <t>長森　好子</t>
    <rPh sb="0" eb="2">
      <t>ナガモリ</t>
    </rPh>
    <rPh sb="3" eb="5">
      <t>ヨシコ</t>
    </rPh>
    <phoneticPr fontId="2"/>
  </si>
  <si>
    <t>西嶋　記枝</t>
    <rPh sb="0" eb="2">
      <t>ニシジマ</t>
    </rPh>
    <rPh sb="3" eb="4">
      <t>キ</t>
    </rPh>
    <rPh sb="4" eb="5">
      <t>エダ</t>
    </rPh>
    <phoneticPr fontId="2"/>
  </si>
  <si>
    <t>林　祥子</t>
    <rPh sb="0" eb="1">
      <t>ハヤシ</t>
    </rPh>
    <rPh sb="2" eb="4">
      <t>ショウコ</t>
    </rPh>
    <phoneticPr fontId="2"/>
  </si>
  <si>
    <t>林　義夫</t>
    <rPh sb="0" eb="1">
      <t>ハヤシ</t>
    </rPh>
    <rPh sb="2" eb="4">
      <t>ヨシオ</t>
    </rPh>
    <phoneticPr fontId="2"/>
  </si>
  <si>
    <t>平木　久子</t>
    <rPh sb="0" eb="2">
      <t>ヒラキ</t>
    </rPh>
    <rPh sb="3" eb="5">
      <t>ヒサコ</t>
    </rPh>
    <phoneticPr fontId="2"/>
  </si>
  <si>
    <t>平木　レキ子</t>
    <rPh sb="0" eb="2">
      <t>ヒラキ</t>
    </rPh>
    <rPh sb="5" eb="6">
      <t>コ</t>
    </rPh>
    <phoneticPr fontId="2"/>
  </si>
  <si>
    <t>藤井　愛子</t>
    <rPh sb="0" eb="2">
      <t>フジイ</t>
    </rPh>
    <rPh sb="3" eb="5">
      <t>アイコ</t>
    </rPh>
    <phoneticPr fontId="2"/>
  </si>
  <si>
    <t>法嶋　節子</t>
  </si>
  <si>
    <t>干場　廣子</t>
    <rPh sb="0" eb="2">
      <t>ホシバ</t>
    </rPh>
    <rPh sb="3" eb="5">
      <t>ヒロコ</t>
    </rPh>
    <phoneticPr fontId="2"/>
  </si>
  <si>
    <t>堀田　市子</t>
    <rPh sb="0" eb="2">
      <t>ホリタ</t>
    </rPh>
    <rPh sb="3" eb="5">
      <t>イチコ</t>
    </rPh>
    <phoneticPr fontId="2"/>
  </si>
  <si>
    <t>本江　洋子</t>
    <rPh sb="0" eb="2">
      <t>ホンゴウ</t>
    </rPh>
    <rPh sb="3" eb="5">
      <t>ヨウコ</t>
    </rPh>
    <phoneticPr fontId="2"/>
  </si>
  <si>
    <t>末永　美代子</t>
  </si>
  <si>
    <t>松岸　のり子</t>
    <rPh sb="0" eb="2">
      <t>マツギシ</t>
    </rPh>
    <rPh sb="5" eb="6">
      <t>コ</t>
    </rPh>
    <phoneticPr fontId="2"/>
  </si>
  <si>
    <t>松田　健吾</t>
    <rPh sb="0" eb="2">
      <t>マツダ</t>
    </rPh>
    <rPh sb="3" eb="5">
      <t>ケンゴ</t>
    </rPh>
    <phoneticPr fontId="2"/>
  </si>
  <si>
    <t>松本　崇幸</t>
    <phoneticPr fontId="2"/>
  </si>
  <si>
    <t>松本　友子</t>
    <rPh sb="0" eb="2">
      <t>マツモト</t>
    </rPh>
    <rPh sb="3" eb="5">
      <t>トモコ</t>
    </rPh>
    <phoneticPr fontId="2"/>
  </si>
  <si>
    <t>南　助正</t>
  </si>
  <si>
    <t>宮越　照子</t>
    <rPh sb="0" eb="2">
      <t>ミヤコシ</t>
    </rPh>
    <rPh sb="3" eb="5">
      <t>テルコ</t>
    </rPh>
    <phoneticPr fontId="2"/>
  </si>
  <si>
    <t>宮部　勝</t>
    <rPh sb="0" eb="2">
      <t>ミヤベ</t>
    </rPh>
    <rPh sb="3" eb="4">
      <t>マサル</t>
    </rPh>
    <phoneticPr fontId="2"/>
  </si>
  <si>
    <t>宮野　祐彰</t>
    <rPh sb="0" eb="2">
      <t>ミヤノ</t>
    </rPh>
    <rPh sb="3" eb="4">
      <t>ユウ</t>
    </rPh>
    <rPh sb="4" eb="5">
      <t>ショウ</t>
    </rPh>
    <phoneticPr fontId="2"/>
  </si>
  <si>
    <t>宮村　毅</t>
    <rPh sb="0" eb="2">
      <t>ミヤムラ</t>
    </rPh>
    <rPh sb="3" eb="4">
      <t>タケシ</t>
    </rPh>
    <phoneticPr fontId="2"/>
  </si>
  <si>
    <t>宮村　ふみ</t>
    <rPh sb="0" eb="2">
      <t>ミヤムラ</t>
    </rPh>
    <phoneticPr fontId="2"/>
  </si>
  <si>
    <t>森田　幸子</t>
    <rPh sb="3" eb="5">
      <t>サチコ</t>
    </rPh>
    <phoneticPr fontId="2"/>
  </si>
  <si>
    <t>八塚　美樹</t>
    <rPh sb="0" eb="1">
      <t>ハチ</t>
    </rPh>
    <rPh sb="1" eb="2">
      <t>ツカ</t>
    </rPh>
    <rPh sb="3" eb="5">
      <t>ミキ</t>
    </rPh>
    <phoneticPr fontId="2"/>
  </si>
  <si>
    <t>藪田　曉美</t>
  </si>
  <si>
    <t>山崎　光世</t>
    <phoneticPr fontId="2"/>
  </si>
  <si>
    <t>山原　有美子</t>
    <rPh sb="0" eb="2">
      <t>ヤマハラ</t>
    </rPh>
    <rPh sb="3" eb="6">
      <t>ユミコ</t>
    </rPh>
    <phoneticPr fontId="2"/>
  </si>
  <si>
    <t>山本　清志</t>
    <rPh sb="0" eb="2">
      <t>ヤマモト</t>
    </rPh>
    <rPh sb="3" eb="4">
      <t>キヨ</t>
    </rPh>
    <rPh sb="4" eb="5">
      <t>シ</t>
    </rPh>
    <phoneticPr fontId="2"/>
  </si>
  <si>
    <t>山本　知明</t>
    <rPh sb="0" eb="2">
      <t>ヤマモト</t>
    </rPh>
    <rPh sb="3" eb="5">
      <t>トモアキ</t>
    </rPh>
    <phoneticPr fontId="2"/>
  </si>
  <si>
    <t>横山　精一</t>
    <rPh sb="0" eb="2">
      <t>ヨコヤマ</t>
    </rPh>
    <rPh sb="3" eb="5">
      <t>セイイチ</t>
    </rPh>
    <phoneticPr fontId="2"/>
  </si>
  <si>
    <t>吉田　萬里子</t>
  </si>
  <si>
    <t>吉田　數子</t>
    <rPh sb="0" eb="2">
      <t>ヨシダ</t>
    </rPh>
    <phoneticPr fontId="2"/>
  </si>
  <si>
    <t>米山　君子</t>
    <rPh sb="0" eb="2">
      <t>ヨネヤマ</t>
    </rPh>
    <rPh sb="3" eb="5">
      <t>キミコ</t>
    </rPh>
    <phoneticPr fontId="2"/>
  </si>
  <si>
    <t>蒦本　郁代</t>
    <rPh sb="0" eb="1">
      <t>カク</t>
    </rPh>
    <rPh sb="1" eb="2">
      <t>モト</t>
    </rPh>
    <rPh sb="3" eb="4">
      <t>イク</t>
    </rPh>
    <rPh sb="4" eb="5">
      <t>ヨ</t>
    </rPh>
    <phoneticPr fontId="2"/>
  </si>
  <si>
    <t>渡辺　篤</t>
    <rPh sb="0" eb="2">
      <t>ワタナベ</t>
    </rPh>
    <rPh sb="3" eb="4">
      <t>アツシ</t>
    </rPh>
    <phoneticPr fontId="2"/>
  </si>
  <si>
    <t>櫻井　久男</t>
    <rPh sb="0" eb="2">
      <t>サクライ</t>
    </rPh>
    <rPh sb="3" eb="5">
      <t>ヒサオ</t>
    </rPh>
    <phoneticPr fontId="2"/>
  </si>
  <si>
    <t>塚島　准子</t>
    <rPh sb="0" eb="2">
      <t>ツカシマ</t>
    </rPh>
    <rPh sb="3" eb="4">
      <t>ジュン</t>
    </rPh>
    <rPh sb="4" eb="5">
      <t>コ</t>
    </rPh>
    <phoneticPr fontId="2"/>
  </si>
  <si>
    <t>年代　美智代</t>
    <rPh sb="0" eb="2">
      <t>ネンダイ</t>
    </rPh>
    <rPh sb="3" eb="6">
      <t>ミチヨ</t>
    </rPh>
    <phoneticPr fontId="2"/>
  </si>
  <si>
    <t>全体人数</t>
    <rPh sb="0" eb="2">
      <t>ゼンタイ</t>
    </rPh>
    <rPh sb="2" eb="4">
      <t>ニンズウ</t>
    </rPh>
    <phoneticPr fontId="2"/>
  </si>
  <si>
    <t>該当者数</t>
    <rPh sb="0" eb="3">
      <t>ガイトウシャ</t>
    </rPh>
    <rPh sb="3" eb="4">
      <t>スウ</t>
    </rPh>
    <phoneticPr fontId="2"/>
  </si>
  <si>
    <t>割合</t>
    <rPh sb="0" eb="2">
      <t>ワリアイ</t>
    </rPh>
    <phoneticPr fontId="2"/>
  </si>
  <si>
    <t>認知症Ⅳ・M人数</t>
    <rPh sb="0" eb="3">
      <t>ニンチショウ</t>
    </rPh>
    <rPh sb="6" eb="8">
      <t>ニンズウ</t>
    </rPh>
    <phoneticPr fontId="2"/>
  </si>
  <si>
    <t>認知症割合</t>
    <rPh sb="0" eb="3">
      <t>ニンチショウ</t>
    </rPh>
    <rPh sb="3" eb="5">
      <t>ワリアイ</t>
    </rPh>
    <phoneticPr fontId="2"/>
  </si>
  <si>
    <t>=COUNTA(E2:E229)</t>
  </si>
  <si>
    <t>=(COUNTIF(F2:F229,"○")+COUNTIF(G2:G229,"○")-COUNTIFS(F2:F229,"○",G2:G229,"○"))</t>
    <phoneticPr fontId="2"/>
  </si>
  <si>
    <t>=COUNTIF(H2:H229,"Ⅳ")+COUNTIF(H2:H229,"M")</t>
    <phoneticPr fontId="2"/>
  </si>
  <si>
    <t>=E236/E233</t>
  </si>
  <si>
    <t>=E234/E233</t>
    <phoneticPr fontId="2"/>
  </si>
  <si>
    <t>基準</t>
    <rPh sb="0" eb="2">
      <t>キジュン</t>
    </rPh>
    <phoneticPr fontId="2"/>
  </si>
  <si>
    <t>判定</t>
    <rPh sb="0" eb="2">
      <t>ハンテイ</t>
    </rPh>
    <phoneticPr fontId="2"/>
  </si>
  <si>
    <t>=IF(E237&gt;=0.4,"15％","20％")</t>
  </si>
  <si>
    <t>=IF(E235&gt;=IF(E237&gt;=0.4,0.15,0.2),"OK","NG")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</si>
</sst>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8"/>
      <color theme="1"/>
      <name val="游ゴシック"/>
      <family val="3"/>
      <charset val="128"/>
      <scheme val="minor"/>
    </font>
    <font>
      <sz val="12"/>
      <color indexed="8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2" borderId="1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  <xf numFmtId="0" fontId="8" fillId="6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8" fillId="8" borderId="1" xfId="0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right" vertical="center"/>
    </xf>
    <xf numFmtId="0" fontId="13" fillId="7" borderId="1" xfId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right" vertical="center" wrapText="1"/>
    </xf>
    <xf numFmtId="0" fontId="8" fillId="8" borderId="1" xfId="0" applyFont="1" applyFill="1" applyBorder="1" applyAlignment="1">
      <alignment horizontal="right" vertical="center" wrapText="1"/>
    </xf>
    <xf numFmtId="0" fontId="8" fillId="13" borderId="1" xfId="0" applyFont="1" applyFill="1" applyBorder="1" applyAlignment="1">
      <alignment horizontal="right" vertical="center" wrapText="1"/>
    </xf>
    <xf numFmtId="0" fontId="8" fillId="14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0" fontId="7" fillId="0" borderId="0" xfId="0" applyFont="1">
      <alignment vertical="center"/>
    </xf>
    <xf numFmtId="0" fontId="15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9" fontId="17" fillId="0" borderId="0" xfId="0" applyNumberFormat="1" applyFont="1" applyAlignment="1">
      <alignment vertical="center"/>
    </xf>
    <xf numFmtId="9" fontId="18" fillId="0" borderId="0" xfId="0" applyNumberFormat="1" applyFont="1">
      <alignment vertical="center"/>
    </xf>
    <xf numFmtId="49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2">
    <cellStyle name="標準" xfId="0" builtinId="0"/>
    <cellStyle name="標準 2" xfId="1" xr:uid="{FFBBB720-506C-46C3-91F5-8895377246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9733;&#35370;&#21839;&#35386;&#30274;&#12522;&#12473;&#12488;&#12539;&#12524;&#12475;&#12503;&#12488;&#31639;&#23450;&#30906;&#35469;R7.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在宅充実体制"/>
      <sheetName val="R8.3印刷用！"/>
      <sheetName val="外来・在宅実績（現在）"/>
      <sheetName val="入力シート（患者情報）"/>
      <sheetName val="R8.4"/>
      <sheetName val="R8.3"/>
      <sheetName val="R8.2"/>
      <sheetName val="R8.1"/>
      <sheetName val="R7.12"/>
      <sheetName val="R7.11"/>
      <sheetName val="R7.10"/>
      <sheetName val="医学管理点数表"/>
      <sheetName val="医学管理コード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5">
          <cell r="A45" t="str">
            <v>2回重1人</v>
          </cell>
        </row>
        <row r="46">
          <cell r="A46" t="str">
            <v>2回重2-9人</v>
          </cell>
        </row>
        <row r="47">
          <cell r="A47" t="str">
            <v>2回重10人超</v>
          </cell>
        </row>
        <row r="48">
          <cell r="A48" t="str">
            <v>2回軽1人</v>
          </cell>
        </row>
        <row r="49">
          <cell r="A49" t="str">
            <v>2回軽2-9人</v>
          </cell>
        </row>
        <row r="50">
          <cell r="A50" t="str">
            <v>2回軽10人超</v>
          </cell>
        </row>
        <row r="51">
          <cell r="A51" t="str">
            <v>1回軽1人</v>
          </cell>
        </row>
        <row r="52">
          <cell r="A52" t="str">
            <v>1回軽2-9人</v>
          </cell>
        </row>
        <row r="53">
          <cell r="A53" t="str">
            <v>1回軽10人超</v>
          </cell>
        </row>
        <row r="54">
          <cell r="A54" t="str">
            <v>施2回重1人</v>
          </cell>
        </row>
        <row r="55">
          <cell r="A55" t="str">
            <v>施2回重2-9人</v>
          </cell>
        </row>
        <row r="56">
          <cell r="A56" t="str">
            <v>施2回重10-19人</v>
          </cell>
        </row>
        <row r="57">
          <cell r="A57" t="str">
            <v>施2回重20-49人</v>
          </cell>
        </row>
        <row r="58">
          <cell r="A58" t="str">
            <v>施2回軽1人</v>
          </cell>
        </row>
        <row r="59">
          <cell r="A59" t="str">
            <v>施2回軽2-9人</v>
          </cell>
        </row>
        <row r="60">
          <cell r="A60" t="str">
            <v>施2回軽10-19人</v>
          </cell>
        </row>
        <row r="61">
          <cell r="A61" t="str">
            <v>施2回軽20-49人</v>
          </cell>
        </row>
        <row r="62">
          <cell r="A62" t="str">
            <v>施1回軽1人</v>
          </cell>
        </row>
        <row r="63">
          <cell r="A63" t="str">
            <v>施1回軽2-9人</v>
          </cell>
        </row>
        <row r="64">
          <cell r="A64" t="str">
            <v>施1回軽10-19人</v>
          </cell>
        </row>
        <row r="65">
          <cell r="A65" t="str">
            <v>施1回軽20-49人</v>
          </cell>
        </row>
        <row r="66">
          <cell r="A66" t="str">
            <v>算定なし</v>
          </cell>
        </row>
        <row r="67">
          <cell r="A67" t="str">
            <v>保留</v>
          </cell>
        </row>
        <row r="68">
          <cell r="A68" t="str">
            <v>がん末期</v>
          </cell>
        </row>
      </sheetData>
      <sheetData sheetId="12">
        <row r="22">
          <cell r="A22" t="str">
            <v>訪問中</v>
          </cell>
        </row>
        <row r="23">
          <cell r="A23" t="str">
            <v>入院中</v>
          </cell>
        </row>
        <row r="24">
          <cell r="A24" t="str">
            <v>死亡</v>
          </cell>
        </row>
        <row r="25">
          <cell r="A25" t="str">
            <v>終診</v>
          </cell>
        </row>
        <row r="26">
          <cell r="A26" t="str">
            <v>転院</v>
          </cell>
        </row>
        <row r="28">
          <cell r="A28" t="str">
            <v>NH</v>
          </cell>
        </row>
        <row r="29">
          <cell r="A29" t="str">
            <v>自宅</v>
          </cell>
        </row>
        <row r="30">
          <cell r="A30" t="str">
            <v>ちゅーりっぷ</v>
          </cell>
        </row>
        <row r="31">
          <cell r="A31" t="str">
            <v>ことほぎ</v>
          </cell>
        </row>
        <row r="32">
          <cell r="A32" t="str">
            <v>絆・しょうぶ</v>
          </cell>
        </row>
        <row r="33">
          <cell r="A33" t="str">
            <v>絆・コスモス</v>
          </cell>
        </row>
        <row r="34">
          <cell r="A34" t="str">
            <v>白寿</v>
          </cell>
        </row>
        <row r="35">
          <cell r="A35" t="str">
            <v>ニチイ石丸
1F</v>
          </cell>
        </row>
        <row r="36">
          <cell r="A36" t="str">
            <v>ニチイ石丸
2F</v>
          </cell>
        </row>
        <row r="37">
          <cell r="A37" t="str">
            <v>あゆみ</v>
          </cell>
        </row>
        <row r="38">
          <cell r="A38" t="str">
            <v>こごみ</v>
          </cell>
        </row>
        <row r="39">
          <cell r="A39" t="str">
            <v>GHすぎのき1F</v>
          </cell>
        </row>
        <row r="40">
          <cell r="A40" t="str">
            <v>GHすぎのき2F</v>
          </cell>
        </row>
        <row r="41">
          <cell r="A41" t="str">
            <v>コミュニティとなみ</v>
          </cell>
        </row>
        <row r="42">
          <cell r="A42" t="str">
            <v>たかのす
チューリップ</v>
          </cell>
        </row>
        <row r="43">
          <cell r="A43" t="str">
            <v>たかのす
コスモス</v>
          </cell>
        </row>
        <row r="44">
          <cell r="A44" t="str">
            <v>ほほえみ館</v>
          </cell>
        </row>
        <row r="45">
          <cell r="A45" t="str">
            <v>第2ほほえみ館</v>
          </cell>
        </row>
        <row r="47">
          <cell r="A47" t="str">
            <v>いかるぎ</v>
          </cell>
        </row>
        <row r="48">
          <cell r="A48" t="str">
            <v>たちぱぱ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9733;&#35370;&#21839;&#35386;&#30274;&#12522;&#12473;&#12488;&#12539;&#12524;&#12475;&#12503;&#12488;&#31639;&#23450;&#30906;&#35469;R7.10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U" refreshedDate="45994.793332291665" createdVersion="8" refreshedVersion="8" minRefreshableVersion="3" recordCount="228" xr:uid="{D4F000CF-1D7C-4C3C-B4FA-38B3B4542791}">
  <cacheSource type="worksheet">
    <worksheetSource ref="B1:AQ229" sheet="R7.11" r:id="rId2"/>
  </cacheSource>
  <cacheFields count="41">
    <cacheField name="通番" numFmtId="0">
      <sharedItems containsSemiMixedTypes="0" containsString="0" containsNumber="1" containsInteger="1" minValue="1" maxValue="228"/>
    </cacheField>
    <cacheField name="患者コード" numFmtId="0">
      <sharedItems containsString="0" containsBlank="1" containsNumber="1" containsInteger="1" minValue="26" maxValue="20693"/>
    </cacheField>
    <cacheField name="区分" numFmtId="0">
      <sharedItems/>
    </cacheField>
    <cacheField name="氏名" numFmtId="0">
      <sharedItems/>
    </cacheField>
    <cacheField name="薬局" numFmtId="0">
      <sharedItems containsBlank="1"/>
    </cacheField>
    <cacheField name="転帰" numFmtId="0">
      <sharedItems containsBlank="1"/>
    </cacheField>
    <cacheField name="死亡年月日／最終来院日" numFmtId="0">
      <sharedItems containsDate="1" containsBlank="1" containsMixedTypes="1" minDate="2025-09-17T00:00:00" maxDate="2025-12-04T00:00:00"/>
    </cacheField>
    <cacheField name="医学管理_x000a_（経過措置期間）" numFmtId="0">
      <sharedItems containsBlank="1" count="18">
        <s v="2回軽2-9人"/>
        <s v="2回重2-9人"/>
        <s v="がん末期"/>
        <s v="施2回軽2-9人"/>
        <s v="施1回軽2-9人"/>
        <s v="施2回軽10-19人"/>
        <s v="施2回重10-19人"/>
        <s v="施1回軽10-19人"/>
        <s v="1回軽2-9人"/>
        <s v="施2回重2-9人"/>
        <s v="2回軽10人超"/>
        <s v="算定なし"/>
        <s v="施2回軽1人"/>
        <s v="2回軽1人"/>
        <s v="1回軽1人"/>
        <s v="2回重1人"/>
        <s v="保留"/>
        <m/>
      </sharedItems>
    </cacheField>
    <cacheField name="包括的支援_x000a_加算" numFmtId="0">
      <sharedItems containsBlank="1"/>
    </cacheField>
    <cacheField name="頻回訪問加算" numFmtId="0">
      <sharedItems containsBlank="1"/>
    </cacheField>
    <cacheField name="酸素" numFmtId="0">
      <sharedItems containsBlank="1"/>
    </cacheField>
    <cacheField name="酸素加算" numFmtId="0">
      <sharedItems containsBlank="1" containsMixedTypes="1" containsNumber="1" containsInteger="1" minValue="0" maxValue="0"/>
    </cacheField>
    <cacheField name="人工呼吸" numFmtId="0">
      <sharedItems containsBlank="1"/>
    </cacheField>
    <cacheField name="人工呼吸加算" numFmtId="0">
      <sharedItems containsBlank="1"/>
    </cacheField>
    <cacheField name="気管切開" numFmtId="0">
      <sharedItems containsBlank="1"/>
    </cacheField>
    <cacheField name="気管切開加算" numFmtId="0">
      <sharedItems containsBlank="1"/>
    </cacheField>
    <cacheField name="排痰補助_x000a_装置加算" numFmtId="0">
      <sharedItems containsBlank="1"/>
    </cacheField>
    <cacheField name="持続陽圧" numFmtId="0">
      <sharedItems containsBlank="1"/>
    </cacheField>
    <cacheField name="持続陽圧_x000a_加算" numFmtId="0">
      <sharedItems containsBlank="1"/>
    </cacheField>
    <cacheField name="中心静脈" numFmtId="0">
      <sharedItems containsBlank="1"/>
    </cacheField>
    <cacheField name="中心静脈_x000a_加算" numFmtId="0">
      <sharedItems containsBlank="1"/>
    </cacheField>
    <cacheField name="成分栄養" numFmtId="0">
      <sharedItems containsNonDate="0" containsString="0" containsBlank="1"/>
    </cacheField>
    <cacheField name="成分栄養加算" numFmtId="0">
      <sharedItems containsNonDate="0" containsString="0" containsBlank="1"/>
    </cacheField>
    <cacheField name="自己注射" numFmtId="0">
      <sharedItems containsBlank="1"/>
    </cacheField>
    <cacheField name="自己注射加算" numFmtId="0">
      <sharedItems containsBlank="1"/>
    </cacheField>
    <cacheField name="自己導尿" numFmtId="0">
      <sharedItems containsBlank="1"/>
    </cacheField>
    <cacheField name="自己導尿加算" numFmtId="0">
      <sharedItems containsBlank="1"/>
    </cacheField>
    <cacheField name="麻薬等注射" numFmtId="0">
      <sharedItems containsNonDate="0" containsString="0" containsBlank="1"/>
    </cacheField>
    <cacheField name="麻薬等注射加算" numFmtId="0">
      <sharedItems containsNonDate="0" containsString="0" containsBlank="1"/>
    </cacheField>
    <cacheField name="早期移行加算" numFmtId="0">
      <sharedItems containsBlank="1"/>
    </cacheField>
    <cacheField name="尿カテ" numFmtId="0">
      <sharedItems containsBlank="1"/>
    </cacheField>
    <cacheField name="ストマ" numFmtId="0">
      <sharedItems containsNonDate="0" containsString="0" containsBlank="1"/>
    </cacheField>
    <cacheField name="経鼻" numFmtId="0">
      <sharedItems containsNonDate="0" containsString="0" containsBlank="1"/>
    </cacheField>
    <cacheField name="胃瘻" numFmtId="0">
      <sharedItems containsNonDate="0" containsString="0" containsBlank="1"/>
    </cacheField>
    <cacheField name="訪看" numFmtId="0">
      <sharedItems containsBlank="1"/>
    </cacheField>
    <cacheField name="居宅療養管理指導料_x000a_算定者" numFmtId="0">
      <sharedItems containsBlank="1"/>
    </cacheField>
    <cacheField name="作成日" numFmtId="0">
      <sharedItems containsNonDate="0" containsDate="1" containsString="0" containsBlank="1" minDate="2019-10-09T00:00:00" maxDate="2019-10-22T00:00:00"/>
    </cacheField>
    <cacheField name="CMへのＦＡＸ" numFmtId="0">
      <sharedItems containsNonDate="0" containsDate="1" containsString="0" containsBlank="1" minDate="2019-10-09T00:00:00" maxDate="2019-10-24T00:00:00"/>
    </cacheField>
    <cacheField name="作成日2" numFmtId="0">
      <sharedItems containsNonDate="0" containsDate="1" containsString="0" containsBlank="1" minDate="2025-05-13T00:00:00" maxDate="2025-11-27T00:00:00"/>
    </cacheField>
    <cacheField name="ｽﾃｰｼｮﾝへ_x000a_お渡し日" numFmtId="0">
      <sharedItems containsNonDate="0" containsDate="1" containsString="0" containsBlank="1" minDate="2025-06-11T00:00:00" maxDate="2025-11-07T00:00:00"/>
    </cacheField>
    <cacheField name="期間_x000a_" numFmtId="0">
      <sharedItems containsNonDate="0" containsDate="1" containsString="0" containsBlank="1" minDate="2025-10-31T00:00:00" maxDate="2026-06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n v="1"/>
    <n v="1233"/>
    <s v="NH"/>
    <s v="池田　美代子"/>
    <s v="たちぱぱ"/>
    <s v="訪問中"/>
    <m/>
    <x v="0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25T00:00:00"/>
    <d v="2025-09-08T00:00:00"/>
    <d v="2026-02-28T00:00:00"/>
  </r>
  <r>
    <n v="2"/>
    <n v="5051"/>
    <s v="NH"/>
    <s v="石畠　幸子"/>
    <s v="いかるぎ"/>
    <s v="訪問中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8-27T00:00:00"/>
    <d v="2025-09-08T00:00:00"/>
    <d v="2025-11-30T00:00:00"/>
  </r>
  <r>
    <n v="3"/>
    <n v="3790"/>
    <s v="NH"/>
    <s v="老松　邦雄"/>
    <s v="いかるぎ"/>
    <s v="訪問中"/>
    <m/>
    <x v="1"/>
    <m/>
    <s v="○_x000a_2回目"/>
    <m/>
    <m/>
    <m/>
    <m/>
    <s v="○"/>
    <s v="☐ 気管切開用人工鼻加算"/>
    <m/>
    <m/>
    <m/>
    <s v="○"/>
    <s v="☑ 在宅中心静脈栄養法輸液ｾｯﾄ加算_x000a_☑ 注入ポンブ加算"/>
    <m/>
    <m/>
    <m/>
    <m/>
    <m/>
    <m/>
    <m/>
    <m/>
    <m/>
    <m/>
    <m/>
    <m/>
    <m/>
    <m/>
    <s v="○"/>
    <m/>
    <m/>
    <d v="2025-08-28T00:00:00"/>
    <d v="2025-09-08T00:00:00"/>
    <d v="2025-11-30T00:00:00"/>
  </r>
  <r>
    <n v="4"/>
    <n v="5125"/>
    <s v="NH"/>
    <s v="大久保　弘子"/>
    <s v="いかるぎ"/>
    <s v="死亡"/>
    <d v="2025-12-03T00:00:00"/>
    <x v="2"/>
    <m/>
    <m/>
    <s v="（○）_x000a_がん末期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"/>
    <n v="5135"/>
    <s v="NH"/>
    <s v="大塚　佳代"/>
    <s v="いかるぎ"/>
    <s v="死亡"/>
    <d v="2025-12-01T00:00:00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07T00:00:00"/>
    <m/>
    <d v="2025-12-31T00:00:00"/>
  </r>
  <r>
    <n v="6"/>
    <n v="819"/>
    <s v="NH"/>
    <s v="加賀見　義公"/>
    <s v="いかるぎ"/>
    <s v="死亡"/>
    <d v="2025-11-29T00:00:00"/>
    <x v="2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7-16T00:00:00"/>
    <d v="2025-07-30T00:00:00"/>
    <d v="2025-10-31T00:00:00"/>
  </r>
  <r>
    <n v="7"/>
    <n v="2550"/>
    <s v="NH"/>
    <s v="河合　初子"/>
    <s v="いかるぎ"/>
    <s v="訪問中"/>
    <m/>
    <x v="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4T00:00:00"/>
    <d v="2025-10-20T00:00:00"/>
    <d v="2025-12-31T00:00:00"/>
  </r>
  <r>
    <n v="8"/>
    <n v="2401"/>
    <s v="NH"/>
    <s v="萩原　靖子"/>
    <s v="いかるぎ"/>
    <s v="訪問中"/>
    <m/>
    <x v="1"/>
    <s v="○"/>
    <s v="○_x000a_2回目"/>
    <s v="○"/>
    <s v="☑ 在宅酸素療養材料加算_x000a_☑ 酸素濃縮装置加算_x000a_☑ 酸素ボンベ加算_x000a_☐ 呼吸同調ﾃﾞﾏﾝﾄﾞﾊﾞﾙﾌﾞ加算"/>
    <m/>
    <m/>
    <m/>
    <m/>
    <m/>
    <m/>
    <m/>
    <m/>
    <m/>
    <m/>
    <m/>
    <m/>
    <m/>
    <m/>
    <m/>
    <m/>
    <m/>
    <m/>
    <m/>
    <m/>
    <m/>
    <m/>
    <m/>
    <s v="○"/>
    <m/>
    <m/>
    <d v="2025-09-26T00:00:00"/>
    <d v="2025-10-20T00:00:00"/>
    <d v="2025-12-31T00:00:00"/>
  </r>
  <r>
    <n v="9"/>
    <n v="252"/>
    <s v="NH"/>
    <s v="吉田　諭吉"/>
    <s v="たちぱぱ"/>
    <s v="訪問中"/>
    <m/>
    <x v="0"/>
    <s v="○"/>
    <m/>
    <m/>
    <m/>
    <m/>
    <m/>
    <m/>
    <m/>
    <m/>
    <m/>
    <m/>
    <m/>
    <m/>
    <m/>
    <m/>
    <m/>
    <m/>
    <m/>
    <m/>
    <m/>
    <m/>
    <m/>
    <m/>
    <m/>
    <m/>
    <m/>
    <s v="ものがたり訪看"/>
    <s v="○"/>
    <m/>
    <m/>
    <d v="2025-11-25T00:00:00"/>
    <d v="2025-09-08T00:00:00"/>
    <d v="2026-02-28T00:00:00"/>
  </r>
  <r>
    <n v="10"/>
    <n v="5124"/>
    <s v="あゆみ"/>
    <s v="戸澤　朝子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09T00:00:00"/>
    <m/>
    <d v="2025-12-31T00:00:00"/>
  </r>
  <r>
    <n v="11"/>
    <n v="4732"/>
    <s v="あゆみ"/>
    <s v="埜村　昭子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1T00:00:00"/>
    <d v="2025-11-06T00:00:00"/>
    <d v="2026-01-31T00:00:00"/>
  </r>
  <r>
    <n v="12"/>
    <n v="2241"/>
    <s v="あゆみ"/>
    <s v="蓮川　佑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1T00:00:00"/>
    <d v="2025-11-06T00:00:00"/>
    <d v="2026-01-31T00:00:00"/>
  </r>
  <r>
    <n v="13"/>
    <n v="1062"/>
    <s v="あゆみ"/>
    <s v="水口　助蔵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16T00:00:00"/>
    <d v="2025-10-20T00:00:00"/>
    <d v="2025-12-31T00:00:00"/>
  </r>
  <r>
    <n v="14"/>
    <n v="4973"/>
    <s v="あゆみ"/>
    <s v="水戸　昌子"/>
    <s v="たちぱぱ"/>
    <s v="入院中"/>
    <d v="2025-11-12T00:00:00"/>
    <x v="4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8-19T00:00:00"/>
    <d v="2025-08-28T00:00:00"/>
    <d v="2025-11-30T00:00:00"/>
  </r>
  <r>
    <n v="15"/>
    <n v="4960"/>
    <s v="あゆみ"/>
    <s v="矢田　孝"/>
    <s v="たちぱぱ"/>
    <s v="訪問中"/>
    <m/>
    <x v="3"/>
    <m/>
    <m/>
    <m/>
    <m/>
    <m/>
    <m/>
    <m/>
    <m/>
    <m/>
    <m/>
    <m/>
    <m/>
    <m/>
    <m/>
    <m/>
    <m/>
    <m/>
    <m/>
    <m/>
    <m/>
    <m/>
    <s v="○12/1/2"/>
    <m/>
    <m/>
    <m/>
    <m/>
    <m/>
    <s v="○"/>
    <m/>
    <m/>
    <d v="2025-10-21T00:00:00"/>
    <d v="2025-11-06T00:00:00"/>
    <d v="2026-01-31T00:00:00"/>
  </r>
  <r>
    <n v="16"/>
    <n v="4354"/>
    <s v="ことほぎ"/>
    <s v="粟野　定芳"/>
    <s v="たちぱぱ"/>
    <s v="訪問中"/>
    <m/>
    <x v="5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17T00:00:00"/>
    <d v="2025-10-20T00:00:00"/>
    <d v="2025-12-31T00:00:00"/>
  </r>
  <r>
    <n v="17"/>
    <n v="484"/>
    <s v="ことほぎ"/>
    <s v="井上　礼子"/>
    <s v="たちぱぱ"/>
    <s v="訪問中"/>
    <m/>
    <x v="6"/>
    <m/>
    <m/>
    <m/>
    <m/>
    <m/>
    <m/>
    <m/>
    <m/>
    <m/>
    <m/>
    <m/>
    <m/>
    <m/>
    <m/>
    <m/>
    <m/>
    <m/>
    <m/>
    <m/>
    <m/>
    <m/>
    <m/>
    <s v="○"/>
    <m/>
    <m/>
    <m/>
    <m/>
    <s v="○"/>
    <m/>
    <m/>
    <d v="2025-09-17T00:00:00"/>
    <d v="2025-10-20T00:00:00"/>
    <d v="2025-12-31T00:00:00"/>
  </r>
  <r>
    <n v="18"/>
    <n v="1756"/>
    <s v="ことほぎ"/>
    <s v="太田　陽子"/>
    <s v="たちぱぱ"/>
    <s v="訪問中"/>
    <m/>
    <x v="5"/>
    <m/>
    <m/>
    <s v="○"/>
    <s v="☑ 在宅酸素療養材料加算_x000a_☑ 酸素濃縮装置加算_x000a_☑ 酸素ボンベ加算_x000a_☑ 呼吸同調ﾃﾞﾏﾝﾄﾞﾊﾞﾙﾌﾞ加算"/>
    <m/>
    <m/>
    <m/>
    <m/>
    <m/>
    <m/>
    <m/>
    <m/>
    <m/>
    <m/>
    <m/>
    <m/>
    <m/>
    <m/>
    <m/>
    <m/>
    <m/>
    <m/>
    <m/>
    <m/>
    <m/>
    <m/>
    <m/>
    <m/>
    <m/>
    <m/>
    <d v="2025-09-17T00:00:00"/>
    <d v="2025-10-20T00:00:00"/>
    <d v="2025-12-31T00:00:00"/>
  </r>
  <r>
    <n v="19"/>
    <n v="46"/>
    <s v="ことほぎ"/>
    <s v="尾田　禮子"/>
    <s v="たちぱぱ"/>
    <s v="訪問中"/>
    <m/>
    <x v="5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15T00:00:00"/>
    <d v="2025-11-06T00:00:00"/>
    <d v="2026-01-31T00:00:00"/>
  </r>
  <r>
    <n v="20"/>
    <n v="127"/>
    <s v="ことほぎ"/>
    <s v="加賀見　光子"/>
    <s v="たちぱぱ"/>
    <s v="訪問中"/>
    <m/>
    <x v="5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15T00:00:00"/>
    <d v="2025-11-06T00:00:00"/>
    <d v="2026-01-31T00:00:00"/>
  </r>
  <r>
    <n v="21"/>
    <n v="4351"/>
    <s v="ことほぎ"/>
    <s v="小松　よし子"/>
    <s v="たちぱぱ"/>
    <s v="訪問中"/>
    <s v="11月～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"/>
    <n v="2546"/>
    <s v="ことほぎ"/>
    <s v="城寶　幸一"/>
    <s v="たちぱぱ"/>
    <s v="訪問中"/>
    <s v="11月～"/>
    <x v="7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"/>
    <n v="1871"/>
    <s v="ことほぎ"/>
    <s v="上銘　郁子"/>
    <s v="たちぱぱ"/>
    <s v="訪問中"/>
    <m/>
    <x v="5"/>
    <m/>
    <m/>
    <m/>
    <m/>
    <m/>
    <m/>
    <m/>
    <m/>
    <m/>
    <m/>
    <m/>
    <m/>
    <m/>
    <m/>
    <m/>
    <m/>
    <m/>
    <m/>
    <m/>
    <m/>
    <m/>
    <m/>
    <s v="○"/>
    <m/>
    <m/>
    <m/>
    <s v="砺波市訪看"/>
    <m/>
    <m/>
    <m/>
    <d v="2025-09-17T00:00:00"/>
    <d v="2025-10-20T00:00:00"/>
    <d v="2025-12-31T00:00:00"/>
  </r>
  <r>
    <n v="24"/>
    <n v="4423"/>
    <s v="ことほぎ"/>
    <s v="城川　静枝"/>
    <s v="たちぱぱ"/>
    <s v="訪問中"/>
    <m/>
    <x v="5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15T00:00:00"/>
    <d v="2025-11-06T00:00:00"/>
    <d v="2026-01-31T00:00:00"/>
  </r>
  <r>
    <n v="25"/>
    <n v="2542"/>
    <s v="ことほぎ"/>
    <s v="中島　礼子"/>
    <s v="たちぱぱ"/>
    <s v="訪問中"/>
    <m/>
    <x v="5"/>
    <s v="(○)_x000a_注射あれば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8-20T00:00:00"/>
    <d v="2025-08-28T00:00:00"/>
    <d v="2025-11-30T00:00:00"/>
  </r>
  <r>
    <n v="26"/>
    <n v="2359"/>
    <s v="ことほぎ"/>
    <s v="中村　朝子"/>
    <s v="たちぱぱ"/>
    <s v="訪問中"/>
    <m/>
    <x v="5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17T00:00:00"/>
    <d v="2025-10-20T00:00:00"/>
    <d v="2025-12-31T00:00:00"/>
  </r>
  <r>
    <n v="27"/>
    <n v="2955"/>
    <s v="ことほぎ"/>
    <s v="根尾　裕子"/>
    <s v="たちぱぱ"/>
    <s v="訪問中"/>
    <m/>
    <x v="6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8-20T00:00:00"/>
    <d v="2025-08-28T00:00:00"/>
    <d v="2025-11-30T00:00:00"/>
  </r>
  <r>
    <n v="28"/>
    <n v="5169"/>
    <s v="ことほぎ"/>
    <s v="萩原　清子"/>
    <s v="たちぱぱ"/>
    <s v="訪問中"/>
    <s v="11月～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"/>
    <n v="4710"/>
    <s v="ことほぎ"/>
    <s v="藤本　久美子"/>
    <s v="たちぱぱ"/>
    <s v="訪問中"/>
    <m/>
    <x v="5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17T00:00:00"/>
    <d v="2025-10-20T00:00:00"/>
    <d v="2025-12-31T00:00:00"/>
  </r>
  <r>
    <n v="30"/>
    <n v="4347"/>
    <s v="ことほぎ"/>
    <s v="堀元　久子"/>
    <s v="たちぱぱ"/>
    <s v="訪問中"/>
    <s v="11月～"/>
    <x v="7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"/>
    <n v="5168"/>
    <s v="ことほぎ"/>
    <s v="松田　好子"/>
    <s v="たちぱぱ"/>
    <s v="訪問中"/>
    <s v="11月～"/>
    <x v="7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"/>
    <n v="4870"/>
    <s v="ことほぎ"/>
    <s v="水戸　幸子"/>
    <s v="たちぱぱ"/>
    <s v="訪問中"/>
    <s v="11月～"/>
    <x v="7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"/>
    <n v="2595"/>
    <s v="ことほぎ"/>
    <s v="森　なつ子"/>
    <s v="たちぱぱ"/>
    <s v="訪問中"/>
    <m/>
    <x v="5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15T00:00:00"/>
    <d v="2025-11-06T00:00:00"/>
    <d v="2026-01-31T00:00:00"/>
  </r>
  <r>
    <n v="34"/>
    <n v="4348"/>
    <s v="ことほぎ"/>
    <s v="森松　てる"/>
    <s v="たちぱぱ"/>
    <s v="死亡"/>
    <d v="2025-11-27T00:00:00"/>
    <x v="7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"/>
    <n v="1625"/>
    <s v="ちゅーりっぷ"/>
    <s v="東　修"/>
    <s v="たちぱぱ"/>
    <s v="訪問中"/>
    <m/>
    <x v="0"/>
    <s v="(○)_x000a_注射あれば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9T00:00:00"/>
    <d v="2025-10-20T00:00:00"/>
    <d v="2025-12-31T00:00:00"/>
  </r>
  <r>
    <n v="36"/>
    <n v="478"/>
    <s v="ちゅーりっぷ"/>
    <s v="瀧澤　泰子"/>
    <s v="たちぱぱ"/>
    <s v="訪問中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9T00:00:00"/>
    <d v="2025-10-20T00:00:00"/>
    <d v="2025-12-31T00:00:00"/>
  </r>
  <r>
    <n v="37"/>
    <n v="2415"/>
    <s v="ちゅーりっぷ"/>
    <s v="西村　君江"/>
    <s v="たちぱぱ"/>
    <s v="訪問中"/>
    <m/>
    <x v="8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30T00:00:00"/>
    <d v="2025-11-06T00:00:00"/>
    <d v="2026-01-31T00:00:00"/>
  </r>
  <r>
    <n v="38"/>
    <n v="181"/>
    <s v="ちゅーりっぷ"/>
    <s v="長谷川　和夫"/>
    <s v="たちぱぱ"/>
    <s v="訪問中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30T00:00:00"/>
    <d v="2025-10-20T00:00:00"/>
    <d v="2025-12-31T00:00:00"/>
  </r>
  <r>
    <n v="39"/>
    <n v="301"/>
    <s v="ちゅーりっぷ"/>
    <s v="舟本　英子"/>
    <s v="たちぱぱ"/>
    <s v="訪問中"/>
    <m/>
    <x v="8"/>
    <s v="○_x000a_注射あれば"/>
    <m/>
    <m/>
    <n v="0"/>
    <m/>
    <m/>
    <m/>
    <m/>
    <m/>
    <m/>
    <m/>
    <m/>
    <m/>
    <m/>
    <m/>
    <m/>
    <m/>
    <m/>
    <m/>
    <m/>
    <m/>
    <m/>
    <m/>
    <m/>
    <m/>
    <m/>
    <m/>
    <m/>
    <m/>
    <m/>
    <d v="2025-09-18T00:00:00"/>
    <d v="2025-10-20T00:00:00"/>
    <d v="2025-12-31T00:00:00"/>
  </r>
  <r>
    <n v="40"/>
    <n v="3938"/>
    <s v="絆・しょうぶ"/>
    <s v="安念　智榮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5T00:00:00"/>
    <d v="2025-10-20T00:00:00"/>
    <d v="2025-12-31T00:00:00"/>
  </r>
  <r>
    <n v="41"/>
    <n v="3851"/>
    <s v="絆・しょうぶ"/>
    <s v="老松　佐紀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3T00:00:00"/>
    <d v="2025-11-06T00:00:00"/>
    <d v="2026-01-31T00:00:00"/>
  </r>
  <r>
    <n v="42"/>
    <n v="3763"/>
    <s v="絆・しょうぶ"/>
    <s v="大橋　善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5T00:00:00"/>
    <d v="2025-10-20T00:00:00"/>
    <d v="2025-12-31T00:00:00"/>
  </r>
  <r>
    <n v="43"/>
    <n v="3122"/>
    <s v="絆・しょうぶ"/>
    <s v="大矢　文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3T00:00:00"/>
    <d v="2025-11-06T00:00:00"/>
    <d v="2026-01-31T00:00:00"/>
  </r>
  <r>
    <n v="44"/>
    <n v="3776"/>
    <s v="絆・コスモス"/>
    <s v="亀ケ谷　澄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8-28T00:00:00"/>
    <d v="2025-09-08T00:00:00"/>
    <d v="2025-11-30T00:00:00"/>
  </r>
  <r>
    <n v="45"/>
    <n v="2974"/>
    <s v="絆・コスモス"/>
    <s v="三部　和子"/>
    <s v="いかるぎ"/>
    <s v="訪問中"/>
    <m/>
    <x v="3"/>
    <s v="○"/>
    <m/>
    <m/>
    <m/>
    <m/>
    <m/>
    <m/>
    <m/>
    <m/>
    <m/>
    <m/>
    <m/>
    <m/>
    <m/>
    <m/>
    <s v="○"/>
    <s v="☑ 血糖自己測定器加算_x000a_　（月30回以上）_x000a_　（1型糖尿病・膵全摘後の_x000a_　患者を除く）"/>
    <m/>
    <m/>
    <m/>
    <m/>
    <m/>
    <m/>
    <m/>
    <m/>
    <m/>
    <m/>
    <s v="○"/>
    <m/>
    <m/>
    <d v="2025-09-25T00:00:00"/>
    <d v="2025-10-20T00:00:00"/>
    <d v="2025-12-31T00:00:00"/>
  </r>
  <r>
    <n v="46"/>
    <n v="2567"/>
    <s v="絆・コスモス"/>
    <s v="高畠　一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8-28T00:00:00"/>
    <d v="2025-09-08T00:00:00"/>
    <d v="2025-11-30T00:00:00"/>
  </r>
  <r>
    <n v="47"/>
    <n v="5053"/>
    <s v="絆・コスモス"/>
    <s v="谷口　榮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8-28T00:00:00"/>
    <d v="2025-09-08T00:00:00"/>
    <d v="2025-11-30T00:00:00"/>
  </r>
  <r>
    <n v="48"/>
    <n v="3940"/>
    <s v="絆・しょうぶ"/>
    <s v="寺井　早智子"/>
    <s v="いかるぎ"/>
    <s v="訪問中"/>
    <m/>
    <x v="9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5T00:00:00"/>
    <d v="2025-10-20T00:00:00"/>
    <d v="2025-12-31T00:00:00"/>
  </r>
  <r>
    <n v="49"/>
    <n v="2431"/>
    <s v="絆・しょうぶ"/>
    <s v="中川　美智枝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3T00:00:00"/>
    <d v="2025-11-06T00:00:00"/>
    <d v="2026-01-31T00:00:00"/>
  </r>
  <r>
    <n v="50"/>
    <n v="3690"/>
    <s v="絆・コスモス"/>
    <s v="畑崎　彰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3T00:00:00"/>
    <d v="2025-11-06T00:00:00"/>
    <d v="2026-01-31T00:00:00"/>
  </r>
  <r>
    <n v="51"/>
    <n v="3689"/>
    <s v="絆・コスモス"/>
    <s v="畑崎　浪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8-28T00:00:00"/>
    <d v="2025-09-08T00:00:00"/>
    <d v="2025-11-30T00:00:00"/>
  </r>
  <r>
    <n v="52"/>
    <n v="3855"/>
    <s v="絆・しょうぶ"/>
    <s v="細川　美喜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5T00:00:00"/>
    <d v="2025-10-20T00:00:00"/>
    <d v="2025-12-31T00:00:00"/>
  </r>
  <r>
    <n v="53"/>
    <n v="3470"/>
    <s v="絆・コスモス"/>
    <s v="松田　ちゑ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3T00:00:00"/>
    <d v="2025-11-06T00:00:00"/>
    <d v="2026-01-31T00:00:00"/>
  </r>
  <r>
    <n v="54"/>
    <n v="3848"/>
    <s v="絆・しょうぶ"/>
    <s v="山本　すみ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8-28T00:00:00"/>
    <d v="2025-09-08T00:00:00"/>
    <d v="2025-11-30T00:00:00"/>
  </r>
  <r>
    <n v="55"/>
    <n v="2591"/>
    <s v="絆・コスモス"/>
    <s v="若森　すみを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5T00:00:00"/>
    <d v="2025-10-20T00:00:00"/>
    <d v="2025-12-31T00:00:00"/>
  </r>
  <r>
    <n v="56"/>
    <n v="639"/>
    <s v="白寿"/>
    <s v="飯塚　嘉代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18T00:00:00"/>
    <d v="2025-10-20T00:00:00"/>
    <d v="2025-12-31T00:00:00"/>
  </r>
  <r>
    <n v="57"/>
    <n v="153"/>
    <s v="白寿"/>
    <s v="市堰　百合子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18T00:00:00"/>
    <d v="2025-10-20T00:00:00"/>
    <d v="2025-12-31T00:00:00"/>
  </r>
  <r>
    <n v="58"/>
    <n v="2202"/>
    <s v="白寿"/>
    <s v="瀬戸　正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20T00:00:00"/>
    <d v="2025-08-28T00:00:00"/>
    <d v="2026-02-28T00:00:00"/>
  </r>
  <r>
    <n v="59"/>
    <n v="137"/>
    <s v="白寿"/>
    <s v="武部　雪子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18T00:00:00"/>
    <d v="2025-10-20T00:00:00"/>
    <d v="2025-12-31T00:00:00"/>
  </r>
  <r>
    <n v="60"/>
    <n v="1188"/>
    <s v="白寿"/>
    <s v="末永　チヅ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18T00:00:00"/>
    <d v="2025-10-20T00:00:00"/>
    <d v="2025-12-31T00:00:00"/>
  </r>
  <r>
    <n v="61"/>
    <n v="4854"/>
    <s v="ニチイ石丸_x000a_1F"/>
    <s v="安藤　嬉美子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8T00:00:00"/>
    <d v="2025-11-06T00:00:00"/>
    <d v="2026-01-31T00:00:00"/>
  </r>
  <r>
    <n v="62"/>
    <n v="2152"/>
    <s v="ニチイ石丸_x000a_2F"/>
    <s v="大浦　房枝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30T00:00:00"/>
    <d v="2025-10-20T00:00:00"/>
    <d v="2025-12-31T00:00:00"/>
  </r>
  <r>
    <n v="63"/>
    <n v="4956"/>
    <s v="ニチイ石丸_x000a_1F"/>
    <s v="亀永　由子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8T00:00:00"/>
    <d v="2025-11-06T00:00:00"/>
    <d v="2026-01-31T00:00:00"/>
  </r>
  <r>
    <n v="64"/>
    <n v="2606"/>
    <s v="ニチイ石丸_x000a_2F"/>
    <s v="島田　君子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25T00:00:00"/>
    <d v="2025-09-08T00:00:00"/>
    <d v="2026-02-28T00:00:00"/>
  </r>
  <r>
    <n v="65"/>
    <n v="3692"/>
    <s v="ニチイ石丸_x000a_2F"/>
    <s v="髙見　いく代"/>
    <m/>
    <s v="訪問中"/>
    <s v="10/28～"/>
    <x v="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8T00:00:00"/>
    <m/>
    <d v="2025-12-31T00:00:00"/>
  </r>
  <r>
    <n v="66"/>
    <n v="2129"/>
    <s v="ニチイ石丸_x000a_1F"/>
    <s v="中川　峰子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30T00:00:00"/>
    <d v="2025-10-20T00:00:00"/>
    <d v="2025-12-31T00:00:00"/>
  </r>
  <r>
    <n v="67"/>
    <n v="5151"/>
    <s v="ニチイ石丸"/>
    <s v="中島　英二"/>
    <m/>
    <s v="訪問中"/>
    <s v="11月～"/>
    <x v="3"/>
    <s v="○"/>
    <m/>
    <m/>
    <m/>
    <m/>
    <m/>
    <m/>
    <m/>
    <m/>
    <m/>
    <m/>
    <m/>
    <m/>
    <m/>
    <m/>
    <m/>
    <m/>
    <m/>
    <m/>
    <m/>
    <m/>
    <s v="○11/12/1"/>
    <m/>
    <m/>
    <m/>
    <m/>
    <m/>
    <m/>
    <m/>
    <m/>
    <m/>
    <m/>
    <m/>
  </r>
  <r>
    <n v="68"/>
    <n v="4629"/>
    <s v="ニチイ石丸_x000a_1F"/>
    <s v="中道　一郎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8T00:00:00"/>
    <d v="2025-11-06T00:00:00"/>
    <d v="2026-01-31T00:00:00"/>
  </r>
  <r>
    <n v="69"/>
    <n v="5097"/>
    <s v="ニチイ石丸_x000a_2F"/>
    <s v="松本　美知代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8T00:00:00"/>
    <d v="2025-11-06T00:00:00"/>
    <d v="2026-01-31T00:00:00"/>
  </r>
  <r>
    <n v="70"/>
    <n v="5074"/>
    <s v="ニチイ石丸_x000a_2F"/>
    <s v="山田　松榮"/>
    <s v="たちぱぱ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30T00:00:00"/>
    <d v="2025-10-20T00:00:00"/>
    <d v="2025-12-31T00:00:00"/>
  </r>
  <r>
    <n v="71"/>
    <n v="3072"/>
    <s v="こごみ"/>
    <s v="井口　久美子"/>
    <s v="たちぱぱ"/>
    <s v="訪問中"/>
    <m/>
    <x v="1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26T00:00:00"/>
    <d v="2025-09-08T00:00:00"/>
    <d v="2026-02-28T00:00:00"/>
  </r>
  <r>
    <n v="72"/>
    <n v="3062"/>
    <s v="こごみ"/>
    <s v="大屋　清一"/>
    <s v="たちぱぱ"/>
    <s v="訪問中"/>
    <m/>
    <x v="1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2T00:00:00"/>
    <d v="2025-11-06T00:00:00"/>
    <d v="2026-01-31T00:00:00"/>
  </r>
  <r>
    <n v="73"/>
    <n v="3061"/>
    <s v="こごみ"/>
    <s v="小川　純司"/>
    <s v="たちぱぱ"/>
    <s v="訪問中"/>
    <m/>
    <x v="1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2T00:00:00"/>
    <d v="2025-11-06T00:00:00"/>
    <d v="2026-01-31T00:00:00"/>
  </r>
  <r>
    <n v="74"/>
    <n v="5122"/>
    <s v="こごみ"/>
    <s v="小川　則子"/>
    <s v="たちぱぱ"/>
    <s v="訪問中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2T00:00:00"/>
    <d v="2025-11-06T00:00:00"/>
    <d v="2026-01-31T00:00:00"/>
  </r>
  <r>
    <n v="75"/>
    <n v="3657"/>
    <s v="こごみ"/>
    <s v="片山　慎也"/>
    <s v="たちぱぱ"/>
    <s v="訪問中"/>
    <m/>
    <x v="1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4T00:00:00"/>
    <d v="2025-10-20T00:00:00"/>
    <d v="2025-12-31T00:00:00"/>
  </r>
  <r>
    <n v="76"/>
    <n v="5193"/>
    <s v="こごみ"/>
    <s v="小林　幸子"/>
    <m/>
    <s v="訪問中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26T00:00:00"/>
    <m/>
    <d v="2026-02-28T00:00:00"/>
  </r>
  <r>
    <n v="77"/>
    <n v="3496"/>
    <s v="こごみ"/>
    <s v="佐村木　勉"/>
    <s v="たちぱぱ"/>
    <s v="訪問中"/>
    <m/>
    <x v="1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2T00:00:00"/>
    <d v="2025-11-06T00:00:00"/>
    <d v="2026-01-31T00:00:00"/>
  </r>
  <r>
    <n v="78"/>
    <n v="3068"/>
    <s v="こごみ"/>
    <s v="図書　あい子"/>
    <s v="たちぱぱ"/>
    <s v="訪問中"/>
    <m/>
    <x v="1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26T00:00:00"/>
    <d v="2025-09-08T00:00:00"/>
    <d v="2026-02-28T00:00:00"/>
  </r>
  <r>
    <n v="79"/>
    <n v="3172"/>
    <s v="こごみ"/>
    <s v="中田　一"/>
    <s v="たちぱぱ"/>
    <s v="訪問中"/>
    <m/>
    <x v="1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4T00:00:00"/>
    <d v="2025-10-20T00:00:00"/>
    <d v="2025-12-31T00:00:00"/>
  </r>
  <r>
    <n v="80"/>
    <n v="3070"/>
    <s v="こごみ"/>
    <s v="沼田　喜代美"/>
    <s v="たちぱぱ"/>
    <s v="訪問中"/>
    <m/>
    <x v="1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26T00:00:00"/>
    <d v="2025-09-08T00:00:00"/>
    <d v="2026-02-28T00:00:00"/>
  </r>
  <r>
    <n v="81"/>
    <n v="3069"/>
    <s v="こごみ"/>
    <s v="山口　恵子"/>
    <s v="たちぱぱ"/>
    <s v="訪問中"/>
    <m/>
    <x v="1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26T00:00:00"/>
    <d v="2025-09-08T00:00:00"/>
    <d v="2026-02-28T00:00:00"/>
  </r>
  <r>
    <n v="82"/>
    <n v="3060"/>
    <s v="こごみ"/>
    <s v="湯尾　彰造"/>
    <s v="たちぱぱ"/>
    <s v="訪問中"/>
    <m/>
    <x v="1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26T00:00:00"/>
    <d v="2025-09-08T00:00:00"/>
    <d v="2026-02-28T00:00:00"/>
  </r>
  <r>
    <n v="83"/>
    <n v="5054"/>
    <s v="こごみ"/>
    <s v="義煎　智秋"/>
    <s v="たちぱぱ"/>
    <s v="訪問中"/>
    <m/>
    <x v="1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2T00:00:00"/>
    <d v="2025-11-06T00:00:00"/>
    <d v="2026-01-31T00:00:00"/>
  </r>
  <r>
    <n v="84"/>
    <n v="3058"/>
    <s v="こごみ"/>
    <s v="鷲尾　幸司"/>
    <s v="たちぱぱ"/>
    <s v="訪問中"/>
    <m/>
    <x v="10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4T00:00:00"/>
    <d v="2025-10-20T00:00:00"/>
    <d v="2025-12-31T00:00:00"/>
  </r>
  <r>
    <n v="85"/>
    <n v="5011"/>
    <s v="たかのす_x000a_コスモス"/>
    <s v="厚地　春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0T00:00:00"/>
    <d v="2025-11-06T00:00:00"/>
    <d v="2026-01-31T00:00:00"/>
  </r>
  <r>
    <n v="86"/>
    <n v="4283"/>
    <s v="たかのす_x000a_コスモス"/>
    <s v="安念　とし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2T00:00:00"/>
    <d v="2025-10-20T00:00:00"/>
    <d v="2025-12-31T00:00:00"/>
  </r>
  <r>
    <n v="87"/>
    <n v="4996"/>
    <s v="たかのす_x000a_チューリップ"/>
    <s v="飯田　富美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2T00:00:00"/>
    <d v="2025-10-20T00:00:00"/>
    <d v="2025-12-31T00:00:00"/>
  </r>
  <r>
    <n v="88"/>
    <n v="4294"/>
    <s v="たかのす_x000a_チューリップ"/>
    <s v="上條　エミ子"/>
    <s v="いかるぎ"/>
    <s v="訪問中"/>
    <s v="被災者"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0T00:00:00"/>
    <d v="2025-11-06T00:00:00"/>
    <d v="2026-01-31T00:00:00"/>
  </r>
  <r>
    <n v="89"/>
    <n v="4853"/>
    <s v="たかのす_x000a_コスモス"/>
    <s v="川村　トシ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2T00:00:00"/>
    <d v="2025-10-20T00:00:00"/>
    <d v="2025-12-31T00:00:00"/>
  </r>
  <r>
    <n v="90"/>
    <n v="4700"/>
    <s v="たかのす_x000a_チューリップ"/>
    <s v="北村　富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0T00:00:00"/>
    <d v="2025-11-06T00:00:00"/>
    <d v="2026-01-31T00:00:00"/>
  </r>
  <r>
    <n v="91"/>
    <n v="5046"/>
    <s v="たかのす_x000a_チューリップ"/>
    <s v="清水　千榮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0T00:00:00"/>
    <d v="2025-11-06T00:00:00"/>
    <d v="2026-01-31T00:00:00"/>
  </r>
  <r>
    <n v="92"/>
    <n v="5015"/>
    <s v="たかのす_x000a_チューリップ"/>
    <s v="高橋　みき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0T00:00:00"/>
    <d v="2025-11-06T00:00:00"/>
    <d v="2026-01-31T00:00:00"/>
  </r>
  <r>
    <n v="93"/>
    <n v="5041"/>
    <s v="たかのす_x000a_コスモス"/>
    <s v="中島　良勝"/>
    <s v="いかるぎ"/>
    <s v="入院中"/>
    <s v="11/27_x000a_TGH入院"/>
    <x v="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2T00:00:00"/>
    <d v="2025-10-20T00:00:00"/>
    <d v="2025-12-31T00:00:00"/>
  </r>
  <r>
    <n v="94"/>
    <n v="5080"/>
    <s v="たかのす_x000a_コスモス"/>
    <s v="西野　節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0T00:00:00"/>
    <d v="2025-11-06T00:00:00"/>
    <d v="2026-01-31T00:00:00"/>
  </r>
  <r>
    <n v="95"/>
    <n v="5048"/>
    <s v="たかのす_x000a_チューリップ"/>
    <s v="野倉　眞紗子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0T00:00:00"/>
    <d v="2025-11-06T00:00:00"/>
    <d v="2026-01-31T00:00:00"/>
  </r>
  <r>
    <n v="96"/>
    <n v="3534"/>
    <s v="たかのす_x000a_コスモス"/>
    <s v="八田　英一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17T00:00:00"/>
    <d v="2025-08-28T00:00:00"/>
    <d v="2026-02-28T00:00:00"/>
  </r>
  <r>
    <n v="97"/>
    <n v="230"/>
    <s v="たかのす_x000a_コスモス"/>
    <s v="平木　玉枝"/>
    <s v="いかるぎ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6T00:00:00"/>
    <d v="2025-10-20T00:00:00"/>
    <d v="2025-12-31T00:00:00"/>
  </r>
  <r>
    <n v="98"/>
    <n v="5238"/>
    <s v="コミュニティとなみ"/>
    <s v="五十嵐　小枝子"/>
    <m/>
    <s v="訪問中"/>
    <s v="11/25～"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25T00:00:00"/>
    <m/>
    <d v="2026-01-31T00:00:00"/>
  </r>
  <r>
    <n v="99"/>
    <n v="5194"/>
    <s v="コミュニティとなみ"/>
    <s v="大窪　照子"/>
    <s v="瑠璃光_x000a_薬局"/>
    <s v="訪問中"/>
    <s v="11月～"/>
    <x v="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12T00:00:00"/>
    <m/>
    <d v="2026-01-31T00:00:00"/>
  </r>
  <r>
    <n v="100"/>
    <n v="5101"/>
    <s v="コミュニティとなみ"/>
    <s v="境　典子"/>
    <s v="瑠璃光_x000a_薬局"/>
    <s v="訪問中"/>
    <m/>
    <x v="3"/>
    <s v="○"/>
    <m/>
    <m/>
    <m/>
    <m/>
    <m/>
    <m/>
    <m/>
    <m/>
    <m/>
    <m/>
    <m/>
    <m/>
    <m/>
    <m/>
    <m/>
    <m/>
    <m/>
    <m/>
    <m/>
    <m/>
    <s v="○9/10/11"/>
    <m/>
    <m/>
    <m/>
    <m/>
    <m/>
    <m/>
    <m/>
    <m/>
    <d v="2025-08-27T00:00:00"/>
    <d v="2025-09-08T00:00:00"/>
    <d v="2025-11-30T00:00:00"/>
  </r>
  <r>
    <n v="101"/>
    <n v="5108"/>
    <s v="コミュニティとなみ"/>
    <s v="田畑　史朗"/>
    <s v="瑠璃光_x000a_薬局"/>
    <s v="訪問中"/>
    <m/>
    <x v="3"/>
    <s v="○"/>
    <m/>
    <m/>
    <m/>
    <m/>
    <m/>
    <m/>
    <m/>
    <m/>
    <m/>
    <m/>
    <m/>
    <m/>
    <m/>
    <m/>
    <m/>
    <m/>
    <m/>
    <m/>
    <m/>
    <m/>
    <s v="○9/10/11"/>
    <m/>
    <m/>
    <m/>
    <m/>
    <m/>
    <m/>
    <m/>
    <m/>
    <d v="2025-09-03T00:00:00"/>
    <d v="2025-09-18T00:00:00"/>
    <d v="2025-11-30T00:00:00"/>
  </r>
  <r>
    <n v="102"/>
    <n v="5117"/>
    <s v="コミュニティとなみ"/>
    <s v="前田　健次"/>
    <s v="瑠璃光_x000a_薬局"/>
    <s v="訪問中"/>
    <m/>
    <x v="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0T00:00:00"/>
    <d v="2025-10-20T00:00:00"/>
    <d v="2025-12-31T00:00:00"/>
  </r>
  <r>
    <n v="103"/>
    <n v="5203"/>
    <s v="GHすぎのき"/>
    <s v="和泉　芳子"/>
    <s v="瑠璃光_x000a_薬局"/>
    <s v="訪問中"/>
    <s v="11月～"/>
    <x v="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"/>
    <n v="5199"/>
    <s v="GHすぎのき"/>
    <s v="小林　順子"/>
    <s v="瑠璃光_x000a_薬局"/>
    <s v="訪問中"/>
    <s v="11月～"/>
    <x v="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5"/>
    <n v="5204"/>
    <s v="GHすぎのき"/>
    <s v="鈴木　サチ子"/>
    <s v="瑠璃光_x000a_薬局"/>
    <s v="訪問中"/>
    <s v="11月～"/>
    <x v="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6"/>
    <n v="5202"/>
    <s v="GHすぎのき"/>
    <s v="砂田　俊子"/>
    <s v="瑠璃光_x000a_薬局"/>
    <s v="訪問中"/>
    <s v="11月～"/>
    <x v="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"/>
    <n v="5198"/>
    <s v="GHすぎのき"/>
    <s v="高橋　文子"/>
    <s v="瑠璃光_x000a_薬局"/>
    <s v="訪問中"/>
    <s v="11月～"/>
    <x v="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8"/>
    <n v="5197"/>
    <s v="GHすぎのき"/>
    <s v="飛田　静雄"/>
    <s v="瑠璃光_x000a_薬局"/>
    <s v="訪問中"/>
    <s v="11月～"/>
    <x v="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9"/>
    <n v="5205"/>
    <s v="GHすぎのき"/>
    <s v="野原　文子"/>
    <s v="瑠璃光_x000a_薬局"/>
    <s v="訪問中"/>
    <s v="11月～"/>
    <x v="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0"/>
    <n v="5200"/>
    <s v="GHすぎのき"/>
    <s v="原田　能子"/>
    <s v="瑠璃光_x000a_薬局"/>
    <s v="訪問中"/>
    <s v="11月～"/>
    <x v="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1"/>
    <n v="5201"/>
    <s v="GHすぎのき"/>
    <s v="横川　初枝"/>
    <s v="瑠璃光_x000a_薬局"/>
    <s v="訪問中"/>
    <s v="11月～"/>
    <x v="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"/>
    <n v="1247"/>
    <s v="いなほの里"/>
    <s v="中島　愛子"/>
    <s v="たちぱぱ"/>
    <s v="訪問中"/>
    <m/>
    <x v="12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5T00:00:00"/>
    <d v="2025-10-20T00:00:00"/>
    <d v="2025-12-31T00:00:00"/>
  </r>
  <r>
    <n v="113"/>
    <n v="55"/>
    <s v="ほほえみ館"/>
    <s v="府録　康男"/>
    <s v="たちぱぱ"/>
    <s v="訪問中"/>
    <s v="11/18入院"/>
    <x v="12"/>
    <s v="○"/>
    <m/>
    <m/>
    <m/>
    <m/>
    <m/>
    <m/>
    <m/>
    <m/>
    <m/>
    <m/>
    <m/>
    <m/>
    <m/>
    <m/>
    <m/>
    <m/>
    <m/>
    <m/>
    <m/>
    <m/>
    <s v="○11/12/1"/>
    <m/>
    <m/>
    <m/>
    <m/>
    <m/>
    <m/>
    <m/>
    <m/>
    <d v="2025-09-16T00:00:00"/>
    <d v="2025-10-20T00:00:00"/>
    <d v="2025-12-31T00:00:00"/>
  </r>
  <r>
    <n v="114"/>
    <n v="940"/>
    <s v="第2ほほえみ館"/>
    <s v="山岸　秀盛"/>
    <s v="たちぱぱ"/>
    <s v="訪問中"/>
    <m/>
    <x v="12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16T00:00:00"/>
    <d v="2025-11-06T00:00:00"/>
    <d v="2026-01-31T00:00:00"/>
  </r>
  <r>
    <n v="115"/>
    <n v="4992"/>
    <s v="自宅"/>
    <s v="青山　健一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2T00:00:00"/>
    <d v="2025-10-20T00:00:00"/>
    <d v="2025-12-31T00:00:00"/>
  </r>
  <r>
    <n v="116"/>
    <n v="5061"/>
    <s v="自宅"/>
    <s v="青山　久子"/>
    <s v="いかるぎ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03T00:00:00"/>
    <d v="2025-09-18T00:00:00"/>
    <d v="2026-02-28T00:00:00"/>
  </r>
  <r>
    <n v="117"/>
    <n v="26"/>
    <s v="自宅"/>
    <s v="浅田　順子"/>
    <s v="たちぱぱ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3T00:00:00"/>
    <d v="2025-11-06T00:00:00"/>
    <d v="2026-03-31T00:00:00"/>
  </r>
  <r>
    <n v="118"/>
    <n v="2141"/>
    <s v="自宅"/>
    <s v="石井　悦子"/>
    <s v="たちぱぱ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31T00:00:00"/>
    <d v="2025-07-30T00:00:00"/>
    <d v="2026-01-31T00:00:00"/>
  </r>
  <r>
    <n v="119"/>
    <n v="2442"/>
    <s v="自宅"/>
    <s v="石倉　次子"/>
    <s v="いかるぎ"/>
    <s v="入院中"/>
    <m/>
    <x v="14"/>
    <m/>
    <m/>
    <m/>
    <m/>
    <m/>
    <m/>
    <m/>
    <m/>
    <m/>
    <m/>
    <m/>
    <m/>
    <m/>
    <m/>
    <m/>
    <m/>
    <m/>
    <m/>
    <m/>
    <m/>
    <m/>
    <s v="○10/11/12"/>
    <m/>
    <m/>
    <m/>
    <m/>
    <m/>
    <m/>
    <m/>
    <m/>
    <d v="2025-08-19T00:00:00"/>
    <d v="2025-08-28T00:00:00"/>
    <d v="2025-11-30T00:00:00"/>
  </r>
  <r>
    <n v="120"/>
    <n v="4840"/>
    <s v="自宅"/>
    <s v="石倉　律子"/>
    <s v="たちぱぱ"/>
    <s v="入院中"/>
    <d v="2025-11-26T00:00:00"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09T00:00:00"/>
    <d v="2025-09-18T00:00:00"/>
    <d v="2025-12-31T00:00:00"/>
  </r>
  <r>
    <n v="121"/>
    <n v="2426"/>
    <s v="自宅"/>
    <s v="石田　宗雄"/>
    <s v="いかるぎ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18T00:00:00"/>
    <d v="2025-10-20T00:00:00"/>
    <d v="2025-12-31T00:00:00"/>
  </r>
  <r>
    <n v="122"/>
    <n v="3036"/>
    <s v="自宅"/>
    <s v="石丸　恵里"/>
    <s v="いかるぎ"/>
    <s v="訪問中"/>
    <m/>
    <x v="15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18T00:00:00"/>
    <d v="2025-10-20T00:00:00"/>
    <d v="2025-12-31T00:00:00"/>
  </r>
  <r>
    <n v="123"/>
    <n v="1775"/>
    <s v="自宅"/>
    <s v="伊藤　博芳"/>
    <s v="たちぱぱ"/>
    <s v="訪問中"/>
    <m/>
    <x v="15"/>
    <m/>
    <m/>
    <s v="○"/>
    <s v="☑ 在宅酸素療養材料加算_x000a_☐ 酸素濃縮装置加算_x000a_☑ 酸素ボンベ加算_x000a_☑ 呼吸同調ﾃﾞﾏﾝﾄﾞﾊﾞﾙﾌﾞ加算"/>
    <m/>
    <m/>
    <m/>
    <m/>
    <m/>
    <m/>
    <m/>
    <m/>
    <m/>
    <m/>
    <m/>
    <m/>
    <m/>
    <m/>
    <m/>
    <m/>
    <m/>
    <m/>
    <m/>
    <m/>
    <m/>
    <m/>
    <m/>
    <s v="○"/>
    <m/>
    <m/>
    <d v="2025-10-16T00:00:00"/>
    <d v="2025-11-06T00:00:00"/>
    <d v="2026-01-31T00:00:00"/>
  </r>
  <r>
    <n v="124"/>
    <n v="3542"/>
    <s v="自宅"/>
    <s v="稲垣　まき子"/>
    <s v="たちぱぱ"/>
    <s v="訪問中"/>
    <m/>
    <x v="13"/>
    <s v="○_x000a_注射あれば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8T00:00:00"/>
    <d v="2025-11-06T00:00:00"/>
    <d v="2026-01-31T00:00:00"/>
  </r>
  <r>
    <n v="125"/>
    <n v="916"/>
    <s v="自宅"/>
    <s v="稲川　繁一"/>
    <s v="たちぱぱ"/>
    <s v="訪問中"/>
    <m/>
    <x v="15"/>
    <s v="○"/>
    <m/>
    <m/>
    <m/>
    <m/>
    <m/>
    <m/>
    <m/>
    <m/>
    <m/>
    <m/>
    <m/>
    <m/>
    <m/>
    <m/>
    <m/>
    <m/>
    <m/>
    <m/>
    <m/>
    <m/>
    <s v="○10/11/12"/>
    <m/>
    <m/>
    <m/>
    <m/>
    <m/>
    <s v="○"/>
    <m/>
    <m/>
    <d v="2025-11-17T00:00:00"/>
    <d v="2025-09-08T00:00:00"/>
    <d v="2026-02-28T00:00:00"/>
  </r>
  <r>
    <n v="126"/>
    <n v="4320"/>
    <s v="自宅"/>
    <s v="今井　秋子"/>
    <s v="いかるぎ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4T00:00:00"/>
    <d v="2025-10-20T00:00:00"/>
    <d v="2025-12-31T00:00:00"/>
  </r>
  <r>
    <n v="127"/>
    <n v="2194"/>
    <s v="自宅"/>
    <s v="今井　信子"/>
    <s v="いかるぎ"/>
    <s v="訪問中"/>
    <m/>
    <x v="14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06T00:00:00"/>
    <d v="2025-11-06T00:00:00"/>
    <d v="2026-01-31T00:00:00"/>
  </r>
  <r>
    <n v="128"/>
    <n v="5049"/>
    <s v="自宅"/>
    <s v="今井　葉末"/>
    <s v="いかるぎ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15T00:00:00"/>
    <d v="2025-10-20T00:00:00"/>
    <d v="2026-01-31T00:00:00"/>
  </r>
  <r>
    <n v="129"/>
    <n v="3234"/>
    <s v="自宅"/>
    <s v="今井　秀樹"/>
    <s v="いかるぎ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15T00:00:00"/>
    <d v="2025-10-20T00:00:00"/>
    <d v="2026-01-31T00:00:00"/>
  </r>
  <r>
    <n v="130"/>
    <n v="4059"/>
    <s v="自宅"/>
    <s v="今井　良二"/>
    <s v="たちぱぱ"/>
    <s v="訪問中"/>
    <m/>
    <x v="11"/>
    <m/>
    <s v="（○）"/>
    <m/>
    <m/>
    <m/>
    <m/>
    <m/>
    <m/>
    <m/>
    <m/>
    <m/>
    <m/>
    <m/>
    <m/>
    <m/>
    <m/>
    <m/>
    <m/>
    <m/>
    <m/>
    <m/>
    <s v="〇12/1/2"/>
    <m/>
    <m/>
    <m/>
    <m/>
    <m/>
    <s v="○"/>
    <m/>
    <m/>
    <d v="2025-09-24T00:00:00"/>
    <d v="2025-10-20T00:00:00"/>
    <d v="2025-12-31T00:00:00"/>
  </r>
  <r>
    <n v="131"/>
    <n v="1811"/>
    <s v="自宅"/>
    <s v="伊山　龍榮"/>
    <s v="いかるぎ"/>
    <s v="訪問中"/>
    <s v="11/21_x000a_誠友病院へ転院"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15T00:00:00"/>
    <d v="2025-10-20T00:00:00"/>
    <d v="2026-01-31T00:00:00"/>
  </r>
  <r>
    <n v="132"/>
    <n v="1455"/>
    <s v="自宅"/>
    <s v="岩崎　奈月"/>
    <s v="たちぱぱ"/>
    <s v="訪問中"/>
    <m/>
    <x v="15"/>
    <s v="○"/>
    <s v="○_x000a_2回目"/>
    <s v="○"/>
    <s v="☑ 在宅酸素療養材料加算_x000a_☑ 酸素濃縮装置加算_x000a_☑ 酸素ボンベ加算_x000a_☐ 呼吸同調ﾃﾞﾏﾝﾄﾞﾊﾞﾙﾌﾞ加算"/>
    <s v="○"/>
    <s v="☑ 人工呼吸器加算_x000a_　　(7,480点)"/>
    <s v="○"/>
    <s v="☑ 気管切開用人工鼻加算"/>
    <s v="○"/>
    <m/>
    <m/>
    <s v="_x000a_R7.10～×"/>
    <s v="□ 在宅中心静脈栄養法輸液ｾｯﾄ加算_x000a_□ 注入ポンブ加算"/>
    <m/>
    <m/>
    <m/>
    <m/>
    <m/>
    <m/>
    <m/>
    <m/>
    <m/>
    <m/>
    <m/>
    <m/>
    <m/>
    <s v="ものがたり訪看"/>
    <m/>
    <m/>
    <m/>
    <d v="2025-08-27T00:00:00"/>
    <d v="2025-09-08T00:00:00"/>
    <d v="2025-11-30T00:00:00"/>
  </r>
  <r>
    <n v="133"/>
    <n v="945"/>
    <s v="自宅"/>
    <s v="浦井　笑子"/>
    <s v="たちぱぱ"/>
    <s v="訪問中"/>
    <m/>
    <x v="15"/>
    <m/>
    <m/>
    <m/>
    <m/>
    <m/>
    <m/>
    <m/>
    <m/>
    <m/>
    <m/>
    <m/>
    <m/>
    <m/>
    <m/>
    <m/>
    <m/>
    <m/>
    <m/>
    <m/>
    <m/>
    <m/>
    <m/>
    <s v="○"/>
    <m/>
    <m/>
    <m/>
    <s v="砺波市訪看"/>
    <s v="○"/>
    <m/>
    <m/>
    <d v="2025-09-25T00:00:00"/>
    <d v="2025-10-20T00:00:00"/>
    <d v="2025-12-31T00:00:00"/>
  </r>
  <r>
    <n v="134"/>
    <n v="1634"/>
    <s v="自宅"/>
    <s v="江田　かずい"/>
    <s v="たちぱぱ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09T00:00:00"/>
    <d v="2025-10-20T00:00:00"/>
    <d v="2026-01-31T00:00:00"/>
  </r>
  <r>
    <n v="135"/>
    <n v="4341"/>
    <s v="自宅"/>
    <s v="太田　つや子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4T00:00:00"/>
    <d v="2025-11-06T00:00:00"/>
    <d v="2026-01-31T00:00:00"/>
  </r>
  <r>
    <n v="136"/>
    <n v="65"/>
    <s v="自宅"/>
    <s v="岡田　敦子"/>
    <s v="いかるぎ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4T00:00:00"/>
    <d v="2025-11-06T00:00:00"/>
    <d v="2026-01-31T00:00:00"/>
  </r>
  <r>
    <n v="137"/>
    <n v="4530"/>
    <s v="自宅"/>
    <s v="奥村　ますみ"/>
    <s v="たちぱぱ"/>
    <s v="訪問中"/>
    <m/>
    <x v="15"/>
    <s v="○"/>
    <m/>
    <s v="○"/>
    <s v="☑ 在宅酸素療養材料加算_x000a_☑ 酸素濃縮装置加算_x000a_☑ 酸素ボンベ加算_x000a_☑ 呼吸同調ﾃﾞﾏﾝﾄﾞﾊﾞﾙﾌﾞ加算"/>
    <m/>
    <m/>
    <m/>
    <m/>
    <m/>
    <m/>
    <m/>
    <m/>
    <m/>
    <m/>
    <m/>
    <m/>
    <m/>
    <m/>
    <m/>
    <m/>
    <m/>
    <m/>
    <m/>
    <m/>
    <m/>
    <m/>
    <m/>
    <s v="○"/>
    <m/>
    <m/>
    <d v="2025-11-21T00:00:00"/>
    <d v="2025-09-18T00:00:00"/>
    <d v="2026-02-28T00:00:00"/>
  </r>
  <r>
    <n v="138"/>
    <n v="990"/>
    <s v="自宅"/>
    <s v="尾田　富藏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3T00:00:00"/>
    <d v="2025-11-06T00:00:00"/>
    <d v="2026-01-31T00:00:00"/>
  </r>
  <r>
    <n v="139"/>
    <n v="5001"/>
    <s v="自宅"/>
    <s v="角藤　猛"/>
    <s v="いかるぎ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2T00:00:00"/>
    <d v="2025-11-06T00:00:00"/>
    <d v="2026-01-31T00:00:00"/>
  </r>
  <r>
    <n v="140"/>
    <n v="3388"/>
    <s v="自宅"/>
    <s v="加藤　豊始"/>
    <s v="たちぱぱ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20T00:00:00"/>
    <d v="2025-08-28T00:00:00"/>
    <d v="2026-02-28T00:00:00"/>
  </r>
  <r>
    <n v="141"/>
    <n v="4918"/>
    <s v="自宅"/>
    <s v="金田　安夫"/>
    <s v="検討中"/>
    <s v="訪問中"/>
    <m/>
    <x v="13"/>
    <m/>
    <m/>
    <m/>
    <m/>
    <m/>
    <m/>
    <m/>
    <m/>
    <m/>
    <m/>
    <m/>
    <m/>
    <m/>
    <m/>
    <m/>
    <m/>
    <m/>
    <m/>
    <m/>
    <m/>
    <m/>
    <s v="○9/10/11"/>
    <m/>
    <m/>
    <m/>
    <m/>
    <m/>
    <m/>
    <m/>
    <m/>
    <d v="2025-09-25T00:00:00"/>
    <d v="2025-10-20T00:00:00"/>
    <d v="2025-12-31T00:00:00"/>
  </r>
  <r>
    <n v="142"/>
    <n v="2512"/>
    <s v="自宅"/>
    <s v="河合　潤子"/>
    <s v="たちぱぱ"/>
    <s v="訪問中"/>
    <m/>
    <x v="13"/>
    <s v="(○)_x000a_注射あれば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19T00:00:00"/>
    <d v="2025-08-28T00:00:00"/>
    <d v="2026-02-28T00:00:00"/>
  </r>
  <r>
    <n v="143"/>
    <n v="1228"/>
    <s v="自宅"/>
    <s v="川口　洋子"/>
    <s v="たちぱぱ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16T00:00:00"/>
    <d v="2025-11-06T00:00:00"/>
    <d v="2026-01-31T00:00:00"/>
  </r>
  <r>
    <n v="144"/>
    <n v="5069"/>
    <s v="自宅"/>
    <s v="川嶋　靖子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4T00:00:00"/>
    <d v="2025-10-20T00:00:00"/>
    <d v="2025-12-31T00:00:00"/>
  </r>
  <r>
    <n v="145"/>
    <n v="4990"/>
    <s v="自宅"/>
    <s v="河原　久美子"/>
    <s v="ひまわり_x000a_薬局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8-18T00:00:00"/>
    <d v="2025-08-28T00:00:00"/>
    <d v="2025-11-30T00:00:00"/>
  </r>
  <r>
    <n v="146"/>
    <n v="538"/>
    <s v="自宅"/>
    <s v="菊野　妙子"/>
    <s v="たちぱぱ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4T00:00:00"/>
    <d v="2025-11-06T00:00:00"/>
    <d v="2026-01-31T00:00:00"/>
  </r>
  <r>
    <n v="147"/>
    <n v="4246"/>
    <s v="自宅"/>
    <s v="喜多　禮子"/>
    <s v="いかるぎ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16T00:00:00"/>
    <d v="2025-10-20T00:00:00"/>
    <d v="2025-12-31T00:00:00"/>
  </r>
  <r>
    <n v="148"/>
    <n v="5115"/>
    <s v="自宅"/>
    <s v="清原　久美子"/>
    <s v="いかるぎ"/>
    <s v="訪問中"/>
    <s v="R7.9～"/>
    <x v="1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12T00:00:00"/>
    <d v="2025-10-20T00:00:00"/>
    <d v="2026-02-28T00:00:00"/>
  </r>
  <r>
    <n v="149"/>
    <n v="1369"/>
    <s v="自宅"/>
    <s v="清原　鈴子"/>
    <s v="いかるぎ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01T00:00:00"/>
    <d v="2025-11-06T00:00:00"/>
    <d v="2026-01-31T00:00:00"/>
  </r>
  <r>
    <n v="150"/>
    <n v="2135"/>
    <s v="自宅"/>
    <s v="後東　弘子"/>
    <s v="たちぱぱ"/>
    <s v="訪問中"/>
    <m/>
    <x v="14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5-13T00:00:00"/>
    <d v="2025-06-11T00:00:00"/>
    <d v="2025-11-30T00:00:00"/>
  </r>
  <r>
    <n v="151"/>
    <n v="5045"/>
    <s v="自宅"/>
    <s v="齊藤　榮子"/>
    <s v="いかるぎ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13T00:00:00"/>
    <d v="2025-10-20T00:00:00"/>
    <d v="2026-01-31T00:00:00"/>
  </r>
  <r>
    <n v="152"/>
    <n v="3130"/>
    <s v="自宅"/>
    <s v="坂井　多鶴夫"/>
    <s v="いかるぎ"/>
    <s v="訪問中"/>
    <m/>
    <x v="15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24T00:00:00"/>
    <d v="2025-09-08T00:00:00"/>
    <d v="2026-02-28T00:00:00"/>
  </r>
  <r>
    <n v="153"/>
    <n v="412"/>
    <s v="自宅"/>
    <s v="境　峰子"/>
    <s v="たちぱぱ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8-27T00:00:00"/>
    <d v="2025-09-08T00:00:00"/>
    <d v="2025-11-30T00:00:00"/>
  </r>
  <r>
    <n v="154"/>
    <n v="479"/>
    <s v="自宅"/>
    <s v="佐野　辰雄"/>
    <s v="たちぱぱ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2T00:00:00"/>
    <d v="2025-11-06T00:00:00"/>
    <d v="2026-03-31T00:00:00"/>
  </r>
  <r>
    <n v="155"/>
    <n v="5037"/>
    <s v="自宅"/>
    <s v="島　孝志"/>
    <s v="いかるぎ"/>
    <s v="訪問中"/>
    <m/>
    <x v="1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4T00:00:00"/>
    <d v="2025-10-20T00:00:00"/>
    <d v="2025-12-31T00:00:00"/>
  </r>
  <r>
    <n v="156"/>
    <n v="2208"/>
    <s v="自宅"/>
    <s v="清水　道子"/>
    <s v="たちぱぱ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26T00:00:00"/>
    <d v="2025-09-08T00:00:00"/>
    <d v="2026-02-28T00:00:00"/>
  </r>
  <r>
    <n v="157"/>
    <n v="5024"/>
    <s v="自宅"/>
    <s v="新町　彦二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8-28T00:00:00"/>
    <d v="2025-09-08T00:00:00"/>
    <d v="2025-11-30T00:00:00"/>
  </r>
  <r>
    <n v="158"/>
    <n v="3076"/>
    <s v="自宅"/>
    <s v="菅野　米雄"/>
    <s v="たちぱぱ"/>
    <s v="訪問中"/>
    <m/>
    <x v="14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01T00:00:00"/>
    <d v="2025-08-19T00:00:00"/>
    <d v="2025-12-31T00:00:00"/>
  </r>
  <r>
    <n v="159"/>
    <n v="5032"/>
    <s v="自宅"/>
    <s v="砂田　里美"/>
    <s v="たちぱぱ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18T00:00:00"/>
    <d v="2025-10-20T00:00:00"/>
    <d v="2025-12-31T00:00:00"/>
  </r>
  <r>
    <n v="160"/>
    <n v="5087"/>
    <s v="自宅"/>
    <s v="清玄寺　勉"/>
    <s v="いかるぎ"/>
    <s v="訪問中"/>
    <m/>
    <x v="15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4T00:00:00"/>
    <d v="2025-11-06T00:00:00"/>
    <d v="2026-01-31T00:00:00"/>
  </r>
  <r>
    <n v="161"/>
    <n v="5083"/>
    <s v="自宅"/>
    <s v="清玄寺　壽子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6T00:00:00"/>
    <d v="2025-10-20T00:00:00"/>
    <d v="2025-12-31T00:00:00"/>
  </r>
  <r>
    <n v="162"/>
    <n v="2457"/>
    <s v="自宅"/>
    <s v="高池　慶麿"/>
    <s v="たちぱぱ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09T00:00:00"/>
    <d v="2025-10-20T00:00:00"/>
    <d v="2026-01-31T00:00:00"/>
  </r>
  <r>
    <n v="163"/>
    <n v="3888"/>
    <s v="自宅"/>
    <s v="高木　愛子"/>
    <s v="たちぱぱ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8-14T00:00:00"/>
    <d v="2025-09-08T00:00:00"/>
    <d v="2025-11-30T00:00:00"/>
  </r>
  <r>
    <n v="164"/>
    <n v="2143"/>
    <s v="自宅"/>
    <s v="髙木　勇信"/>
    <s v="たちぱぱ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11T00:00:00"/>
    <d v="2025-08-28T00:00:00"/>
    <d v="2026-02-28T00:00:00"/>
  </r>
  <r>
    <n v="165"/>
    <n v="4844"/>
    <s v="自宅"/>
    <s v="髙嶋　朝子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s v="○10/11/12"/>
    <m/>
    <m/>
    <m/>
    <m/>
    <m/>
    <s v="○"/>
    <m/>
    <m/>
    <d v="2025-09-28T00:00:00"/>
    <d v="2025-10-20T00:00:00"/>
    <d v="2025-12-31T00:00:00"/>
  </r>
  <r>
    <n v="166"/>
    <n v="5127"/>
    <s v="自宅"/>
    <s v="髙田　俊夫"/>
    <m/>
    <s v="訪問中"/>
    <s v="10/20～"/>
    <x v="13"/>
    <s v="○"/>
    <m/>
    <m/>
    <m/>
    <m/>
    <m/>
    <m/>
    <m/>
    <m/>
    <m/>
    <m/>
    <m/>
    <m/>
    <m/>
    <m/>
    <m/>
    <m/>
    <m/>
    <m/>
    <m/>
    <m/>
    <s v="○10/11/12"/>
    <m/>
    <m/>
    <m/>
    <m/>
    <m/>
    <m/>
    <m/>
    <m/>
    <d v="2025-10-20T00:00:00"/>
    <d v="2025-11-06T00:00:00"/>
    <d v="2025-12-31T00:00:00"/>
  </r>
  <r>
    <n v="167"/>
    <n v="5019"/>
    <s v="自宅"/>
    <s v="田島　すみ子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3T00:00:00"/>
    <d v="2025-11-06T00:00:00"/>
    <d v="2026-01-31T00:00:00"/>
  </r>
  <r>
    <n v="168"/>
    <n v="1680"/>
    <s v="自宅"/>
    <s v="田島　由美子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d v="2019-10-09T00:00:00"/>
    <d v="2019-10-10T00:00:00"/>
    <d v="2025-11-19T00:00:00"/>
    <d v="2025-08-28T00:00:00"/>
    <d v="2026-02-28T00:00:00"/>
  </r>
  <r>
    <n v="169"/>
    <n v="4699"/>
    <s v="自宅"/>
    <s v="橘　克子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2T00:00:00"/>
    <d v="2025-10-20T00:00:00"/>
    <d v="2025-12-31T00:00:00"/>
  </r>
  <r>
    <n v="170"/>
    <n v="2181"/>
    <s v="自宅"/>
    <s v="橘　幸子"/>
    <s v="たちぱぱ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d v="2019-10-09T00:00:00"/>
    <d v="2019-10-09T00:00:00"/>
    <d v="2025-11-19T00:00:00"/>
    <d v="2025-08-28T00:00:00"/>
    <d v="2026-02-28T00:00:00"/>
  </r>
  <r>
    <n v="171"/>
    <n v="5206"/>
    <s v="自宅"/>
    <s v="千葉東　豊一"/>
    <m/>
    <s v="訪問中"/>
    <s v="R7.11～"/>
    <x v="11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11T00:00:00"/>
    <m/>
    <d v="2026-01-31T00:00:00"/>
  </r>
  <r>
    <n v="172"/>
    <n v="3537"/>
    <s v="自宅"/>
    <s v="津田　繁子"/>
    <s v="たちぱぱ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20T00:00:00"/>
    <d v="2025-08-28T00:00:00"/>
    <d v="2026-02-28T00:00:00"/>
  </r>
  <r>
    <n v="173"/>
    <n v="654"/>
    <s v="自宅"/>
    <s v="土田　光枝"/>
    <s v="いかるぎ"/>
    <s v="訪問中"/>
    <s v="12月から外来へ"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08T00:00:00"/>
    <d v="2025-09-18T00:00:00"/>
    <d v="2025-12-31T00:00:00"/>
  </r>
  <r>
    <n v="174"/>
    <n v="5196"/>
    <s v="自宅"/>
    <s v="富樫　久美子"/>
    <m/>
    <s v="訪問中"/>
    <m/>
    <x v="11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5"/>
    <n v="3859"/>
    <s v="自宅"/>
    <s v="戸田　美知榮"/>
    <s v="いかるぎ"/>
    <s v="訪問中"/>
    <m/>
    <x v="15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18T00:00:00"/>
    <d v="2025-08-28T00:00:00"/>
    <d v="2026-02-28T00:00:00"/>
  </r>
  <r>
    <n v="176"/>
    <n v="2533"/>
    <s v="自宅"/>
    <s v="中島　昱代"/>
    <s v="たちぱぱ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11T00:00:00"/>
    <d v="2025-10-20T00:00:00"/>
    <d v="2025-12-31T00:00:00"/>
  </r>
  <r>
    <n v="177"/>
    <n v="5104"/>
    <s v="自宅"/>
    <s v="中島　サチ子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20T00:00:00"/>
    <d v="2025-10-20T00:00:00"/>
    <d v="2026-02-28T00:00:00"/>
  </r>
  <r>
    <n v="178"/>
    <n v="53"/>
    <s v="自宅"/>
    <s v="中島　重男"/>
    <s v="たちぱぱ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11T00:00:00"/>
    <d v="2025-10-20T00:00:00"/>
    <d v="2025-12-31T00:00:00"/>
  </r>
  <r>
    <n v="179"/>
    <n v="1567"/>
    <s v="自宅"/>
    <s v="中寺　力"/>
    <s v="たちぱぱ"/>
    <s v="訪問中"/>
    <m/>
    <x v="15"/>
    <s v="○"/>
    <m/>
    <m/>
    <m/>
    <m/>
    <m/>
    <m/>
    <m/>
    <m/>
    <m/>
    <m/>
    <m/>
    <m/>
    <m/>
    <m/>
    <m/>
    <m/>
    <m/>
    <m/>
    <m/>
    <m/>
    <m/>
    <m/>
    <m/>
    <m/>
    <m/>
    <s v="砺波市訪看"/>
    <s v="○"/>
    <d v="2019-10-21T00:00:00"/>
    <d v="2019-10-23T00:00:00"/>
    <d v="2025-10-20T00:00:00"/>
    <d v="2025-11-06T00:00:00"/>
    <d v="2026-01-31T00:00:00"/>
  </r>
  <r>
    <n v="180"/>
    <n v="2469"/>
    <s v="自宅"/>
    <s v="長久　正治"/>
    <s v="たちぱぱ"/>
    <s v="訪問中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08T00:00:00"/>
    <d v="2025-10-20T00:00:00"/>
    <d v="2026-01-31T00:00:00"/>
  </r>
  <r>
    <n v="181"/>
    <n v="3101"/>
    <s v="自宅"/>
    <s v="長田　信子"/>
    <s v="いかるぎ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0T00:00:00"/>
    <d v="2025-11-06T00:00:00"/>
    <d v="2026-01-31T00:00:00"/>
  </r>
  <r>
    <n v="182"/>
    <n v="5084"/>
    <s v="自宅"/>
    <s v="長森　好子"/>
    <s v="いかるぎ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07T00:00:00"/>
    <d v="2025-11-06T00:00:00"/>
    <d v="2026-01-31T00:00:00"/>
  </r>
  <r>
    <n v="183"/>
    <n v="2583"/>
    <s v="自宅"/>
    <s v="長森　芳子"/>
    <s v="たちぱぱ"/>
    <s v="訪問中"/>
    <s v="R7.9～"/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24T00:00:00"/>
    <d v="2025-09-18T00:00:00"/>
    <d v="2026-02-28T00:00:00"/>
  </r>
  <r>
    <n v="184"/>
    <n v="1170"/>
    <s v="自宅"/>
    <s v="西嶋　記枝"/>
    <s v="たちぱぱ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s v="ものがたり訪看"/>
    <s v="○"/>
    <m/>
    <m/>
    <d v="2025-09-18T00:00:00"/>
    <d v="2025-10-20T00:00:00"/>
    <d v="2025-12-31T00:00:00"/>
  </r>
  <r>
    <n v="185"/>
    <n v="5047"/>
    <s v="自宅"/>
    <s v="平木　久子"/>
    <s v="たちぱぱ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7T00:00:00"/>
    <d v="2025-11-06T00:00:00"/>
    <d v="2026-01-31T00:00:00"/>
  </r>
  <r>
    <n v="186"/>
    <n v="3488"/>
    <s v="自宅"/>
    <s v="平木　レキ子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25T00:00:00"/>
    <d v="2025-09-08T00:00:00"/>
    <d v="2026-02-28T00:00:00"/>
  </r>
  <r>
    <n v="187"/>
    <n v="2102"/>
    <s v="自宅"/>
    <s v="藤井　愛子"/>
    <s v="いかるぎ"/>
    <s v="訪問中"/>
    <m/>
    <x v="13"/>
    <s v="○_x000a_注射あれば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4T00:00:00"/>
    <d v="2025-10-20T00:00:00"/>
    <d v="2025-12-31T00:00:00"/>
  </r>
  <r>
    <n v="188"/>
    <n v="2222"/>
    <s v="自宅"/>
    <s v="法嶋　節子"/>
    <s v="たちぱぱ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17T00:00:00"/>
    <d v="2025-08-28T00:00:00"/>
    <d v="2026-02-28T00:00:00"/>
  </r>
  <r>
    <n v="189"/>
    <n v="3511"/>
    <s v="自宅"/>
    <s v="干場　廣子"/>
    <s v="いかるぎ"/>
    <s v="訪問中"/>
    <m/>
    <x v="15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18T00:00:00"/>
    <d v="2025-09-08T00:00:00"/>
    <d v="2026-03-31T00:00:00"/>
  </r>
  <r>
    <n v="190"/>
    <n v="3840"/>
    <s v="自宅"/>
    <s v="堀田　明香"/>
    <s v="たちぱぱ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29T00:00:00"/>
    <d v="2025-11-06T00:00:00"/>
    <d v="2026-01-31T00:00:00"/>
  </r>
  <r>
    <n v="191"/>
    <n v="5073"/>
    <s v="自宅"/>
    <s v="堀田　市子"/>
    <s v="ひまわり_x000a_薬局_x000a_（砺波店）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2T00:00:00"/>
    <d v="2025-10-20T00:00:00"/>
    <d v="2025-12-31T00:00:00"/>
  </r>
  <r>
    <n v="192"/>
    <n v="3516"/>
    <s v="自宅"/>
    <s v="本江　洋子"/>
    <s v="いかるぎ"/>
    <s v="訪問中"/>
    <m/>
    <x v="13"/>
    <m/>
    <m/>
    <m/>
    <m/>
    <m/>
    <m/>
    <m/>
    <m/>
    <m/>
    <m/>
    <m/>
    <m/>
    <m/>
    <m/>
    <m/>
    <s v="○"/>
    <s v="☐ 血糖自己測定器加算"/>
    <m/>
    <m/>
    <m/>
    <m/>
    <m/>
    <m/>
    <m/>
    <m/>
    <m/>
    <m/>
    <s v="○"/>
    <m/>
    <m/>
    <d v="2025-10-20T00:00:00"/>
    <d v="2025-11-06T00:00:00"/>
    <d v="2026-01-31T00:00:00"/>
  </r>
  <r>
    <n v="193"/>
    <n v="1192"/>
    <s v="自宅"/>
    <s v="松岸　のり子"/>
    <s v="たちぱぱ"/>
    <s v="訪問中"/>
    <m/>
    <x v="15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19T00:00:00"/>
    <d v="2025-09-08T00:00:00"/>
    <d v="2026-02-28T00:00:00"/>
  </r>
  <r>
    <n v="194"/>
    <n v="2371"/>
    <s v="自宅"/>
    <s v="松田　健吾"/>
    <s v="たちぱぱ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5-13T00:00:00"/>
    <d v="2025-06-11T00:00:00"/>
    <d v="2025-11-30T00:00:00"/>
  </r>
  <r>
    <n v="195"/>
    <n v="2532"/>
    <s v="自宅"/>
    <s v="松本　崇幸"/>
    <s v="いかるぎ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30T00:00:00"/>
    <d v="2025-11-06T00:00:00"/>
    <d v="2026-01-31T00:00:00"/>
  </r>
  <r>
    <n v="196"/>
    <n v="1693"/>
    <s v="自宅"/>
    <s v="松本　友子"/>
    <s v="いかるぎ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30T00:00:00"/>
    <d v="2025-11-06T00:00:00"/>
    <d v="2026-01-31T00:00:00"/>
  </r>
  <r>
    <n v="197"/>
    <n v="4703"/>
    <s v="自宅"/>
    <s v="南　助正"/>
    <s v="いかるぎ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23T00:00:00"/>
    <d v="2025-11-06T00:00:00"/>
    <d v="2026-01-31T00:00:00"/>
  </r>
  <r>
    <n v="198"/>
    <n v="5044"/>
    <s v="自宅"/>
    <s v="宮越　照子"/>
    <s v="いかるぎ"/>
    <s v="訪問中"/>
    <m/>
    <x v="15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18T00:00:00"/>
    <d v="2025-10-20T00:00:00"/>
    <d v="2025-12-31T00:00:00"/>
  </r>
  <r>
    <n v="199"/>
    <n v="2448"/>
    <s v="自宅"/>
    <s v="宮部　勝"/>
    <s v="たちぱぱ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04T00:00:00"/>
    <d v="2025-09-18T00:00:00"/>
    <d v="2025-12-31T00:00:00"/>
  </r>
  <r>
    <n v="200"/>
    <n v="4874"/>
    <s v="自宅"/>
    <s v="宮野　祐彰"/>
    <s v="いかるぎ"/>
    <s v="訪問中"/>
    <m/>
    <x v="15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15T00:00:00"/>
    <d v="2025-11-06T00:00:00"/>
    <d v="2026-01-31T00:00:00"/>
  </r>
  <r>
    <n v="201"/>
    <n v="5116"/>
    <s v="自宅"/>
    <s v="宮村　毅"/>
    <s v="たちぱぱ"/>
    <s v="訪問中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9T00:00:00"/>
    <d v="2025-10-20T00:00:00"/>
    <d v="2025-12-31T00:00:00"/>
  </r>
  <r>
    <n v="202"/>
    <n v="131"/>
    <s v="自宅"/>
    <s v="宮村　ふみ"/>
    <s v="たちぱぱ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30T00:00:00"/>
    <d v="2025-10-20T00:00:00"/>
    <d v="2025-12-31T00:00:00"/>
  </r>
  <r>
    <n v="203"/>
    <n v="2427"/>
    <s v="自宅"/>
    <s v="森田　幸子"/>
    <s v="たちぱぱ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30T00:00:00"/>
    <d v="2025-10-20T00:00:00"/>
    <d v="2025-12-31T00:00:00"/>
  </r>
  <r>
    <n v="204"/>
    <n v="1762"/>
    <s v="自宅"/>
    <s v="谷内　辰夫"/>
    <m/>
    <s v="訪問中"/>
    <m/>
    <x v="1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30T00:00:00"/>
    <m/>
    <d v="2025-12-31T00:00:00"/>
  </r>
  <r>
    <n v="205"/>
    <n v="3546"/>
    <s v="自宅"/>
    <s v="藪田　曉美"/>
    <s v="たちぱぱ"/>
    <s v="訪問中"/>
    <m/>
    <x v="14"/>
    <s v="(○)_x000a_注射あれば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0-08T00:00:00"/>
    <d v="2025-10-20T00:00:00"/>
    <d v="2026-01-31T00:00:00"/>
  </r>
  <r>
    <n v="206"/>
    <n v="5059"/>
    <s v="自宅"/>
    <s v="山崎　光世"/>
    <s v="いかるぎ"/>
    <s v="訪問中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6T00:00:00"/>
    <d v="2025-10-20T00:00:00"/>
    <d v="2025-12-31T00:00:00"/>
  </r>
  <r>
    <n v="207"/>
    <n v="3050"/>
    <s v="自宅"/>
    <s v="山原　有美子"/>
    <s v="いかるぎ"/>
    <s v="訪問中"/>
    <m/>
    <x v="14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8-06T00:00:00"/>
    <d v="2025-08-28T00:00:00"/>
    <d v="2025-11-30T00:00:00"/>
  </r>
  <r>
    <n v="208"/>
    <n v="1037"/>
    <s v="自宅"/>
    <s v="山本　清志"/>
    <s v="たちぱぱ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7-17T00:00:00"/>
    <d v="2025-08-12T00:00:00"/>
    <d v="2025-12-31T00:00:00"/>
  </r>
  <r>
    <n v="209"/>
    <n v="4321"/>
    <s v="自宅"/>
    <s v="山本　知明"/>
    <s v="たちぱぱ"/>
    <s v="訪問中"/>
    <s v="Ｒ７．８～"/>
    <x v="13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29T00:00:00"/>
    <d v="2025-10-20T00:00:00"/>
    <d v="2025-12-31T00:00:00"/>
  </r>
  <r>
    <n v="210"/>
    <n v="3860"/>
    <s v="自宅"/>
    <s v="横山　精一"/>
    <s v="いかるぎ"/>
    <s v="訪問中"/>
    <m/>
    <x v="13"/>
    <s v="○"/>
    <m/>
    <m/>
    <m/>
    <m/>
    <m/>
    <m/>
    <m/>
    <m/>
    <m/>
    <m/>
    <m/>
    <m/>
    <m/>
    <m/>
    <m/>
    <m/>
    <s v="R7.5～_x000a_×"/>
    <s v="特殊カテーテル加算_x000a_2.間歇導尿用ディスポーザプルカテーテル_x000a_ロ.イ以外のもの"/>
    <m/>
    <m/>
    <m/>
    <m/>
    <m/>
    <m/>
    <m/>
    <m/>
    <s v="○"/>
    <m/>
    <m/>
    <d v="2025-10-16T00:00:00"/>
    <d v="2025-11-06T00:00:00"/>
    <d v="2026-01-31T00:00:00"/>
  </r>
  <r>
    <n v="211"/>
    <n v="1137"/>
    <s v="自宅"/>
    <s v="吉田　萬里子"/>
    <s v="たちぱぱ"/>
    <s v="訪問中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13T00:00:00"/>
    <d v="2025-08-28T00:00:00"/>
    <d v="2026-02-28T00:00:00"/>
  </r>
  <r>
    <n v="212"/>
    <n v="3519"/>
    <s v="自宅"/>
    <s v="吉田　數子"/>
    <s v="いかるぎ"/>
    <s v="訪問中"/>
    <m/>
    <x v="13"/>
    <s v="○"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4T00:00:00"/>
    <d v="2025-10-20T00:00:00"/>
    <d v="2025-12-31T00:00:00"/>
  </r>
  <r>
    <n v="213"/>
    <n v="5134"/>
    <s v="自宅"/>
    <s v="六田　一也"/>
    <m/>
    <s v="訪問中"/>
    <s v="11/3～"/>
    <x v="15"/>
    <m/>
    <m/>
    <m/>
    <m/>
    <m/>
    <m/>
    <m/>
    <m/>
    <m/>
    <m/>
    <m/>
    <m/>
    <m/>
    <m/>
    <m/>
    <m/>
    <m/>
    <m/>
    <m/>
    <m/>
    <m/>
    <s v="○11/12/1"/>
    <m/>
    <m/>
    <m/>
    <m/>
    <m/>
    <m/>
    <m/>
    <m/>
    <d v="2025-11-03T00:00:00"/>
    <m/>
    <d v="2025-12-31T00:00:00"/>
  </r>
  <r>
    <n v="214"/>
    <n v="1156"/>
    <s v="自宅"/>
    <s v="蒦本　郁代"/>
    <s v="たちぱぱ"/>
    <s v="訪問中"/>
    <m/>
    <x v="14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9-10T00:00:00"/>
    <d v="2025-10-20T00:00:00"/>
    <d v="2025-12-31T00:00:00"/>
  </r>
  <r>
    <n v="215"/>
    <n v="3544"/>
    <s v="自宅"/>
    <s v="渡辺　篤"/>
    <s v="たちぱぱ"/>
    <s v="訪問中"/>
    <m/>
    <x v="15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09-25T00:00:00"/>
    <d v="2025-10-20T00:00:00"/>
    <d v="2025-12-31T00:00:00"/>
  </r>
  <r>
    <n v="216"/>
    <n v="3947"/>
    <s v="自宅"/>
    <s v="渡辺　和俊"/>
    <s v="アルプ薬局_x000a_ことぶき店"/>
    <s v="訪問中"/>
    <m/>
    <x v="15"/>
    <m/>
    <m/>
    <m/>
    <m/>
    <m/>
    <m/>
    <m/>
    <m/>
    <m/>
    <m/>
    <m/>
    <m/>
    <m/>
    <m/>
    <m/>
    <m/>
    <m/>
    <m/>
    <m/>
    <m/>
    <m/>
    <m/>
    <m/>
    <m/>
    <m/>
    <m/>
    <m/>
    <s v="○"/>
    <m/>
    <m/>
    <d v="2025-11-06T00:00:00"/>
    <d v="2025-08-28T00:00:00"/>
    <d v="2026-02-28T00:00:00"/>
  </r>
  <r>
    <n v="217"/>
    <n v="4231"/>
    <s v="自宅"/>
    <s v="櫻井　久男"/>
    <s v="とやま調剤薬局_x000a_南砺山見店"/>
    <s v="訪問中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6-05T00:00:00"/>
    <d v="2025-06-19T00:00:00"/>
    <d v="2025-12-31T00:00:00"/>
  </r>
  <r>
    <n v="218"/>
    <n v="4264"/>
    <s v="自宅"/>
    <s v="塚島　准子"/>
    <s v="チューリップ_x000a_中神薬局"/>
    <s v="訪問中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0-02T00:00:00"/>
    <d v="2025-11-06T00:00:00"/>
    <d v="2026-05-31T00:00:00"/>
  </r>
  <r>
    <n v="219"/>
    <n v="3935"/>
    <s v="自宅"/>
    <s v="年代　美智代"/>
    <s v="チューリップ_x000a_福野薬局"/>
    <s v="訪問中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8-07T00:00:00"/>
    <d v="2025-09-08T00:00:00"/>
    <d v="2026-04-30T00:00:00"/>
  </r>
  <r>
    <n v="220"/>
    <n v="5089"/>
    <s v="自宅"/>
    <s v="山岸　徹"/>
    <m/>
    <s v="入院中"/>
    <d v="2025-09-17T00:00:00"/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8-12T00:00:00"/>
    <d v="2025-08-28T00:00:00"/>
    <d v="2025-10-31T00:00:00"/>
  </r>
  <r>
    <n v="221"/>
    <m/>
    <s v="コミュニティとなみ"/>
    <s v="杉谷　茂"/>
    <m/>
    <m/>
    <s v="R7.12～"/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2"/>
    <n v="3007"/>
    <s v="ことほぎ"/>
    <s v="堀川　タミ子"/>
    <s v="たちぱぱ"/>
    <m/>
    <s v="R7.12～"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3"/>
    <n v="2642"/>
    <s v="自宅"/>
    <s v="安念　笑子"/>
    <m/>
    <m/>
    <s v="R7.12～"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4"/>
    <n v="5129"/>
    <s v="自宅"/>
    <s v="宮西　忠義"/>
    <m/>
    <m/>
    <s v="R7.12～"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5"/>
    <n v="4635"/>
    <s v="外来"/>
    <s v="松井　絹子"/>
    <s v="いかるぎ"/>
    <m/>
    <m/>
    <x v="17"/>
    <m/>
    <m/>
    <m/>
    <m/>
    <m/>
    <m/>
    <m/>
    <m/>
    <m/>
    <s v="○"/>
    <s v="☑在宅持続陽圧呼吸療法用_x000a_　　治療器加算_x000a_☑在宅持続陽圧呼吸療法材料加算_x000a_　　（ＣＰＡＰ使用）"/>
    <m/>
    <m/>
    <m/>
    <m/>
    <m/>
    <m/>
    <m/>
    <m/>
    <m/>
    <m/>
    <m/>
    <m/>
    <m/>
    <m/>
    <m/>
    <m/>
    <m/>
    <m/>
    <m/>
    <m/>
    <m/>
    <m/>
  </r>
  <r>
    <n v="226"/>
    <n v="20693"/>
    <s v="外来"/>
    <s v="正所　宏"/>
    <m/>
    <m/>
    <m/>
    <x v="17"/>
    <m/>
    <m/>
    <m/>
    <m/>
    <m/>
    <m/>
    <m/>
    <m/>
    <m/>
    <m/>
    <m/>
    <m/>
    <m/>
    <m/>
    <m/>
    <s v="○"/>
    <s v="☐ 血糖自己測定器加算"/>
    <m/>
    <m/>
    <m/>
    <m/>
    <m/>
    <m/>
    <m/>
    <m/>
    <m/>
    <m/>
    <m/>
    <m/>
    <m/>
    <m/>
    <m/>
    <m/>
  </r>
  <r>
    <n v="227"/>
    <n v="4337"/>
    <s v="外来"/>
    <s v="宗景　勇"/>
    <s v="いかるぎ"/>
    <m/>
    <m/>
    <x v="17"/>
    <m/>
    <m/>
    <s v="○"/>
    <s v="☑ 在宅酸素療養材料加算_x000a_☑ 酸素濃縮装置加算_x000a_☑ 酸素ボンベ加算_x000a_☑ 呼吸同調ﾃﾞﾏﾝﾄﾞﾊﾞﾙﾌﾞ加算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8"/>
    <n v="20098"/>
    <s v="外来"/>
    <s v="浄土　正樹"/>
    <s v="たちぱぱ"/>
    <m/>
    <m/>
    <x v="17"/>
    <m/>
    <m/>
    <m/>
    <m/>
    <m/>
    <m/>
    <m/>
    <m/>
    <m/>
    <s v="○"/>
    <s v="☑在宅持続陽圧呼吸療法用_x000a_　　治療器加算_x000a_☑在宅持続陽圧呼吸療法材料加算_x000a_　　（ＣＰＡＰ使用）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5B4D4-5564-4527-B8BB-208EE678E166}" name="ﾋﾟﾎﾞｯﾄﾃｰﾌﾞﾙ2" cacheId="19" applyNumberFormats="0" applyBorderFormats="0" applyFontFormats="0" applyPatternFormats="0" applyAlignmentFormats="0" applyWidthHeightFormats="1" dataCaption="値" updatedVersion="8" minRefreshableVersion="3" useAutoFormatting="1" itemPrintTitles="1" createdVersion="5" indent="0" outline="1" outlineData="1" multipleFieldFilters="0">
  <location ref="I3:J22" firstHeaderRow="1" firstDataRow="1" firstDataCol="1"/>
  <pivotFields count="41">
    <pivotField showAll="0"/>
    <pivotField showAll="0"/>
    <pivotField showAll="0"/>
    <pivotField showAll="0"/>
    <pivotField showAll="0" defaultSubtotal="0"/>
    <pivotField showAll="0"/>
    <pivotField showAll="0"/>
    <pivotField axis="axisRow" dataField="1" showAll="0">
      <items count="19">
        <item x="0"/>
        <item x="1"/>
        <item x="2"/>
        <item x="16"/>
        <item x="3"/>
        <item x="9"/>
        <item x="10"/>
        <item x="12"/>
        <item x="13"/>
        <item x="14"/>
        <item x="15"/>
        <item x="11"/>
        <item x="17"/>
        <item x="8"/>
        <item x="4"/>
        <item x="5"/>
        <item x="6"/>
        <item x="7"/>
        <item t="default"/>
      </items>
    </pivotField>
    <pivotField showAll="0" defaultSubtota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</pivotFields>
  <rowFields count="1">
    <field x="7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データの個数 / 医学管理_x000a_（経過措置期間）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D29E-2B47-4F71-BB0E-2B5ED912C66A}">
  <sheetPr>
    <tabColor rgb="FF47C133"/>
    <pageSetUpPr fitToPage="1"/>
  </sheetPr>
  <dimension ref="A1:K256"/>
  <sheetViews>
    <sheetView tabSelected="1" zoomScaleNormal="100" workbookViewId="0">
      <pane xSplit="5" ySplit="1" topLeftCell="F227" activePane="bottomRight" state="frozen"/>
      <selection pane="topRight" activeCell="F1" sqref="F1"/>
      <selection pane="bottomLeft" activeCell="A2" sqref="A2"/>
      <selection pane="bottomRight" activeCell="J239" sqref="J239"/>
    </sheetView>
  </sheetViews>
  <sheetFormatPr defaultColWidth="9" defaultRowHeight="25.5" x14ac:dyDescent="0.4"/>
  <cols>
    <col min="1" max="1" width="3.25" customWidth="1"/>
    <col min="2" max="2" width="5.625" style="34" customWidth="1"/>
    <col min="3" max="3" width="10.5" style="34" customWidth="1"/>
    <col min="4" max="4" width="13.375" style="39" customWidth="1"/>
    <col min="5" max="5" width="22" style="41" customWidth="1"/>
    <col min="6" max="7" width="10.875" style="38" customWidth="1"/>
    <col min="8" max="8" width="10.125" style="38" bestFit="1" customWidth="1"/>
    <col min="9" max="9" width="15.5" bestFit="1" customWidth="1"/>
    <col min="10" max="10" width="40.875" bestFit="1" customWidth="1"/>
    <col min="11" max="13" width="9" customWidth="1"/>
  </cols>
  <sheetData>
    <row r="1" spans="1:11" ht="31.5" x14ac:dyDescent="0.4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8"/>
    </row>
    <row r="2" spans="1:11" ht="41.25" customHeight="1" x14ac:dyDescent="0.4">
      <c r="B2" s="9">
        <v>1</v>
      </c>
      <c r="C2" s="9">
        <v>1233</v>
      </c>
      <c r="D2" s="10" t="s">
        <v>7</v>
      </c>
      <c r="E2" s="11" t="s">
        <v>8</v>
      </c>
      <c r="F2" s="12"/>
      <c r="G2" s="13" t="s">
        <v>9</v>
      </c>
      <c r="H2" s="14"/>
      <c r="I2" s="8"/>
    </row>
    <row r="3" spans="1:11" ht="46.5" customHeight="1" x14ac:dyDescent="0.4">
      <c r="A3" s="15"/>
      <c r="B3" s="9">
        <v>2</v>
      </c>
      <c r="C3" s="9">
        <v>3790</v>
      </c>
      <c r="D3" s="10" t="s">
        <v>7</v>
      </c>
      <c r="E3" s="11" t="s">
        <v>10</v>
      </c>
      <c r="F3" s="12" t="s">
        <v>9</v>
      </c>
      <c r="G3" s="13"/>
      <c r="H3" s="14"/>
      <c r="I3" t="s">
        <v>11</v>
      </c>
      <c r="J3" t="s">
        <v>12</v>
      </c>
    </row>
    <row r="4" spans="1:11" ht="38.25" customHeight="1" x14ac:dyDescent="0.4">
      <c r="A4" s="15"/>
      <c r="B4" s="9">
        <v>3</v>
      </c>
      <c r="C4" s="9">
        <v>2550</v>
      </c>
      <c r="D4" s="10" t="s">
        <v>7</v>
      </c>
      <c r="E4" s="11" t="s">
        <v>13</v>
      </c>
      <c r="F4" s="12"/>
      <c r="G4" s="13" t="s">
        <v>9</v>
      </c>
      <c r="H4" s="14"/>
      <c r="I4" s="16" t="s">
        <v>14</v>
      </c>
      <c r="J4">
        <v>5</v>
      </c>
    </row>
    <row r="5" spans="1:11" ht="48.75" customHeight="1" x14ac:dyDescent="0.4">
      <c r="A5" s="15"/>
      <c r="B5" s="9">
        <v>4</v>
      </c>
      <c r="C5" s="9">
        <v>5264</v>
      </c>
      <c r="D5" s="10" t="s">
        <v>7</v>
      </c>
      <c r="E5" s="11" t="s">
        <v>15</v>
      </c>
      <c r="F5" s="12" t="s">
        <v>9</v>
      </c>
      <c r="G5" s="13" t="s">
        <v>9</v>
      </c>
      <c r="H5" s="14"/>
      <c r="I5" s="16" t="s">
        <v>16</v>
      </c>
      <c r="J5">
        <v>3</v>
      </c>
    </row>
    <row r="6" spans="1:11" ht="41.25" customHeight="1" x14ac:dyDescent="0.4">
      <c r="A6" s="15"/>
      <c r="B6" s="9">
        <v>5</v>
      </c>
      <c r="C6" s="9">
        <v>5015</v>
      </c>
      <c r="D6" s="10" t="s">
        <v>7</v>
      </c>
      <c r="E6" s="11" t="s">
        <v>17</v>
      </c>
      <c r="F6" s="12" t="s">
        <v>9</v>
      </c>
      <c r="G6" s="13" t="s">
        <v>9</v>
      </c>
      <c r="H6" s="14"/>
      <c r="I6" s="16" t="s">
        <v>18</v>
      </c>
      <c r="J6">
        <v>4</v>
      </c>
    </row>
    <row r="7" spans="1:11" ht="42" customHeight="1" x14ac:dyDescent="0.4">
      <c r="A7" s="15"/>
      <c r="B7" s="9">
        <v>6</v>
      </c>
      <c r="C7" s="9">
        <v>2401</v>
      </c>
      <c r="D7" s="10" t="s">
        <v>7</v>
      </c>
      <c r="E7" s="11" t="s">
        <v>19</v>
      </c>
      <c r="F7" s="12" t="s">
        <v>9</v>
      </c>
      <c r="G7" s="13" t="s">
        <v>9</v>
      </c>
      <c r="H7" s="14"/>
      <c r="I7" s="16" t="s">
        <v>20</v>
      </c>
      <c r="J7">
        <v>2</v>
      </c>
    </row>
    <row r="8" spans="1:11" ht="49.5" customHeight="1" x14ac:dyDescent="0.4">
      <c r="A8" s="15"/>
      <c r="B8" s="9">
        <v>7</v>
      </c>
      <c r="C8" s="9">
        <v>55</v>
      </c>
      <c r="D8" s="10" t="s">
        <v>7</v>
      </c>
      <c r="E8" s="11" t="s">
        <v>21</v>
      </c>
      <c r="F8" s="12" t="s">
        <v>9</v>
      </c>
      <c r="G8" s="13" t="s">
        <v>9</v>
      </c>
      <c r="H8" s="14"/>
      <c r="I8" s="16" t="s">
        <v>22</v>
      </c>
      <c r="J8">
        <v>51</v>
      </c>
    </row>
    <row r="9" spans="1:11" s="17" customFormat="1" ht="51.75" customHeight="1" x14ac:dyDescent="0.4">
      <c r="A9" s="15"/>
      <c r="B9" s="9">
        <v>8</v>
      </c>
      <c r="C9" s="9">
        <v>5294</v>
      </c>
      <c r="D9" s="10" t="s">
        <v>7</v>
      </c>
      <c r="E9" s="11" t="s">
        <v>23</v>
      </c>
      <c r="F9" s="12" t="s">
        <v>9</v>
      </c>
      <c r="G9" s="13" t="s">
        <v>9</v>
      </c>
      <c r="H9" s="14"/>
      <c r="I9" s="16" t="s">
        <v>24</v>
      </c>
      <c r="J9">
        <v>1</v>
      </c>
      <c r="K9"/>
    </row>
    <row r="10" spans="1:11" ht="39.75" customHeight="1" x14ac:dyDescent="0.4">
      <c r="A10" s="15"/>
      <c r="B10" s="9">
        <v>9</v>
      </c>
      <c r="C10" s="9">
        <v>5270</v>
      </c>
      <c r="D10" s="10" t="s">
        <v>25</v>
      </c>
      <c r="E10" s="11" t="s">
        <v>26</v>
      </c>
      <c r="F10" s="12" t="s">
        <v>9</v>
      </c>
      <c r="G10" s="13"/>
      <c r="H10" s="14"/>
      <c r="I10" s="16" t="s">
        <v>27</v>
      </c>
      <c r="J10">
        <v>13</v>
      </c>
    </row>
    <row r="11" spans="1:11" ht="50.25" customHeight="1" x14ac:dyDescent="0.4">
      <c r="A11" s="15"/>
      <c r="B11" s="9">
        <v>10</v>
      </c>
      <c r="C11" s="9">
        <v>5246</v>
      </c>
      <c r="D11" s="10" t="s">
        <v>7</v>
      </c>
      <c r="E11" s="11" t="s">
        <v>28</v>
      </c>
      <c r="F11" s="12" t="s">
        <v>9</v>
      </c>
      <c r="G11" s="13"/>
      <c r="H11" s="14"/>
      <c r="I11" s="16" t="s">
        <v>29</v>
      </c>
      <c r="J11">
        <v>3</v>
      </c>
    </row>
    <row r="12" spans="1:11" ht="38.25" customHeight="1" x14ac:dyDescent="0.4">
      <c r="A12" s="15"/>
      <c r="B12" s="9">
        <v>11</v>
      </c>
      <c r="C12" s="9">
        <v>5124</v>
      </c>
      <c r="D12" s="18" t="s">
        <v>30</v>
      </c>
      <c r="E12" s="11" t="s">
        <v>31</v>
      </c>
      <c r="F12" s="12" t="s">
        <v>9</v>
      </c>
      <c r="G12" s="13" t="s">
        <v>9</v>
      </c>
      <c r="H12" s="14"/>
      <c r="I12" s="16" t="s">
        <v>32</v>
      </c>
      <c r="J12">
        <v>49</v>
      </c>
    </row>
    <row r="13" spans="1:11" ht="38.25" customHeight="1" x14ac:dyDescent="0.4">
      <c r="A13" s="15"/>
      <c r="B13" s="9">
        <v>12</v>
      </c>
      <c r="C13" s="9">
        <v>5292</v>
      </c>
      <c r="D13" s="18" t="s">
        <v>30</v>
      </c>
      <c r="E13" s="11" t="s">
        <v>33</v>
      </c>
      <c r="F13" s="12" t="s">
        <v>9</v>
      </c>
      <c r="G13" s="13" t="s">
        <v>9</v>
      </c>
      <c r="H13" s="14"/>
      <c r="I13" s="16" t="s">
        <v>34</v>
      </c>
      <c r="J13">
        <v>30</v>
      </c>
    </row>
    <row r="14" spans="1:11" ht="38.25" customHeight="1" x14ac:dyDescent="0.4">
      <c r="A14" s="15"/>
      <c r="B14" s="9">
        <v>13</v>
      </c>
      <c r="C14" s="9">
        <v>4732</v>
      </c>
      <c r="D14" s="18" t="s">
        <v>30</v>
      </c>
      <c r="E14" s="11" t="s">
        <v>35</v>
      </c>
      <c r="F14" s="12"/>
      <c r="G14" s="13" t="s">
        <v>9</v>
      </c>
      <c r="H14" s="14"/>
      <c r="I14" s="16" t="s">
        <v>36</v>
      </c>
      <c r="J14">
        <v>18</v>
      </c>
    </row>
    <row r="15" spans="1:11" ht="38.25" customHeight="1" x14ac:dyDescent="0.4">
      <c r="A15" s="15"/>
      <c r="B15" s="9">
        <v>14</v>
      </c>
      <c r="C15" s="9">
        <v>2241</v>
      </c>
      <c r="D15" s="18" t="s">
        <v>30</v>
      </c>
      <c r="E15" s="11" t="s">
        <v>37</v>
      </c>
      <c r="F15" s="12"/>
      <c r="G15" s="13" t="s">
        <v>9</v>
      </c>
      <c r="H15" s="14"/>
      <c r="I15" s="16" t="s">
        <v>38</v>
      </c>
      <c r="J15">
        <v>12</v>
      </c>
      <c r="K15">
        <v>-9</v>
      </c>
    </row>
    <row r="16" spans="1:11" ht="56.25" customHeight="1" x14ac:dyDescent="0.4">
      <c r="A16" s="15"/>
      <c r="B16" s="9">
        <v>15</v>
      </c>
      <c r="C16" s="9">
        <v>1062</v>
      </c>
      <c r="D16" s="18" t="s">
        <v>30</v>
      </c>
      <c r="E16" s="11" t="s">
        <v>39</v>
      </c>
      <c r="F16" s="12"/>
      <c r="G16" s="13" t="s">
        <v>9</v>
      </c>
      <c r="H16" s="14"/>
      <c r="I16" s="16" t="s">
        <v>40</v>
      </c>
    </row>
    <row r="17" spans="1:10" ht="51.75" customHeight="1" x14ac:dyDescent="0.4">
      <c r="A17" s="15"/>
      <c r="B17" s="9">
        <v>16</v>
      </c>
      <c r="C17" s="9">
        <v>4354</v>
      </c>
      <c r="D17" s="19" t="s">
        <v>41</v>
      </c>
      <c r="E17" s="11" t="s">
        <v>42</v>
      </c>
      <c r="F17" s="12"/>
      <c r="G17" s="13" t="s">
        <v>9</v>
      </c>
      <c r="H17" s="14"/>
      <c r="I17" s="16" t="s">
        <v>43</v>
      </c>
      <c r="J17">
        <v>3</v>
      </c>
    </row>
    <row r="18" spans="1:10" ht="51" customHeight="1" x14ac:dyDescent="0.4">
      <c r="A18" s="15"/>
      <c r="B18" s="9">
        <v>17</v>
      </c>
      <c r="C18" s="9">
        <v>4840</v>
      </c>
      <c r="D18" s="19" t="s">
        <v>41</v>
      </c>
      <c r="E18" s="11" t="s">
        <v>44</v>
      </c>
      <c r="F18" s="12"/>
      <c r="G18" s="13" t="s">
        <v>9</v>
      </c>
      <c r="H18" s="14"/>
      <c r="I18" s="16" t="s">
        <v>45</v>
      </c>
      <c r="J18">
        <v>11</v>
      </c>
    </row>
    <row r="19" spans="1:10" ht="48.75" customHeight="1" x14ac:dyDescent="0.4">
      <c r="A19" s="15"/>
      <c r="B19" s="9">
        <v>18</v>
      </c>
      <c r="C19" s="9">
        <v>484</v>
      </c>
      <c r="D19" s="19" t="s">
        <v>41</v>
      </c>
      <c r="E19" s="11" t="s">
        <v>46</v>
      </c>
      <c r="F19" s="12" t="s">
        <v>9</v>
      </c>
      <c r="G19" s="13" t="s">
        <v>9</v>
      </c>
      <c r="H19" s="14"/>
      <c r="I19" s="16" t="s">
        <v>47</v>
      </c>
      <c r="J19">
        <v>11</v>
      </c>
    </row>
    <row r="20" spans="1:10" ht="38.25" customHeight="1" x14ac:dyDescent="0.4">
      <c r="A20" s="15"/>
      <c r="B20" s="9">
        <v>19</v>
      </c>
      <c r="C20" s="9">
        <v>1756</v>
      </c>
      <c r="D20" s="19" t="s">
        <v>41</v>
      </c>
      <c r="E20" s="11" t="s">
        <v>48</v>
      </c>
      <c r="F20" s="12" t="s">
        <v>9</v>
      </c>
      <c r="G20" s="13"/>
      <c r="H20" s="14"/>
      <c r="I20" s="16" t="s">
        <v>49</v>
      </c>
      <c r="J20">
        <v>2</v>
      </c>
    </row>
    <row r="21" spans="1:10" ht="49.5" customHeight="1" x14ac:dyDescent="0.4">
      <c r="A21" s="15"/>
      <c r="B21" s="9">
        <v>20</v>
      </c>
      <c r="C21" s="9">
        <v>127</v>
      </c>
      <c r="D21" s="19" t="s">
        <v>41</v>
      </c>
      <c r="E21" s="11" t="s">
        <v>50</v>
      </c>
      <c r="F21" s="12"/>
      <c r="G21" s="13" t="s">
        <v>9</v>
      </c>
      <c r="H21" s="14"/>
      <c r="I21" s="16" t="s">
        <v>51</v>
      </c>
      <c r="J21">
        <v>6</v>
      </c>
    </row>
    <row r="22" spans="1:10" ht="45" customHeight="1" x14ac:dyDescent="0.4">
      <c r="A22" s="15"/>
      <c r="B22" s="9">
        <v>21</v>
      </c>
      <c r="C22" s="9">
        <v>5308</v>
      </c>
      <c r="D22" s="19" t="s">
        <v>41</v>
      </c>
      <c r="E22" s="11" t="s">
        <v>52</v>
      </c>
      <c r="F22" s="12" t="s">
        <v>9</v>
      </c>
      <c r="G22" s="13" t="s">
        <v>9</v>
      </c>
      <c r="H22" s="14"/>
      <c r="I22" s="16" t="s">
        <v>54</v>
      </c>
      <c r="J22">
        <v>224</v>
      </c>
    </row>
    <row r="23" spans="1:10" ht="38.25" customHeight="1" x14ac:dyDescent="0.4">
      <c r="A23" s="15"/>
      <c r="B23" s="9">
        <v>22</v>
      </c>
      <c r="C23" s="9">
        <v>4351</v>
      </c>
      <c r="D23" s="19" t="s">
        <v>41</v>
      </c>
      <c r="E23" s="11" t="s">
        <v>55</v>
      </c>
      <c r="F23" s="12"/>
      <c r="G23" s="13" t="s">
        <v>9</v>
      </c>
      <c r="H23" s="14"/>
    </row>
    <row r="24" spans="1:10" ht="38.25" customHeight="1" x14ac:dyDescent="0.4">
      <c r="A24" s="15"/>
      <c r="B24" s="9">
        <v>23</v>
      </c>
      <c r="C24" s="9">
        <v>2546</v>
      </c>
      <c r="D24" s="19" t="s">
        <v>41</v>
      </c>
      <c r="E24" s="11" t="s">
        <v>56</v>
      </c>
      <c r="F24" s="12"/>
      <c r="G24" s="13" t="s">
        <v>9</v>
      </c>
      <c r="H24" s="14"/>
      <c r="I24" s="16"/>
    </row>
    <row r="25" spans="1:10" ht="38.25" customHeight="1" x14ac:dyDescent="0.4">
      <c r="A25" s="15"/>
      <c r="B25" s="9">
        <v>24</v>
      </c>
      <c r="C25" s="9">
        <v>1871</v>
      </c>
      <c r="D25" s="19" t="s">
        <v>41</v>
      </c>
      <c r="E25" s="11" t="s">
        <v>57</v>
      </c>
      <c r="F25" s="12" t="s">
        <v>9</v>
      </c>
      <c r="G25" s="13"/>
      <c r="H25" s="14"/>
      <c r="I25" s="16"/>
    </row>
    <row r="26" spans="1:10" ht="38.25" customHeight="1" x14ac:dyDescent="0.4">
      <c r="A26" s="15"/>
      <c r="B26" s="9">
        <v>25</v>
      </c>
      <c r="C26" s="9">
        <v>4423</v>
      </c>
      <c r="D26" s="19" t="s">
        <v>41</v>
      </c>
      <c r="E26" s="11" t="s">
        <v>58</v>
      </c>
      <c r="F26" s="12"/>
      <c r="G26" s="13" t="s">
        <v>9</v>
      </c>
      <c r="H26" s="14"/>
      <c r="I26" s="16"/>
    </row>
    <row r="27" spans="1:10" ht="40.5" customHeight="1" x14ac:dyDescent="0.4">
      <c r="A27" s="15"/>
      <c r="B27" s="9">
        <v>26</v>
      </c>
      <c r="C27" s="9">
        <v>5283</v>
      </c>
      <c r="D27" s="19" t="s">
        <v>41</v>
      </c>
      <c r="E27" s="11" t="s">
        <v>59</v>
      </c>
      <c r="F27" s="12"/>
      <c r="G27" s="13" t="s">
        <v>9</v>
      </c>
      <c r="H27" s="14"/>
      <c r="I27" s="16"/>
    </row>
    <row r="28" spans="1:10" ht="40.5" customHeight="1" x14ac:dyDescent="0.4">
      <c r="A28" s="15"/>
      <c r="B28" s="9">
        <v>27</v>
      </c>
      <c r="C28" s="9">
        <v>2542</v>
      </c>
      <c r="D28" s="19" t="s">
        <v>41</v>
      </c>
      <c r="E28" s="11" t="s">
        <v>60</v>
      </c>
      <c r="F28" s="12"/>
      <c r="G28" s="13" t="s">
        <v>9</v>
      </c>
      <c r="H28" s="14"/>
      <c r="I28" s="16"/>
    </row>
    <row r="29" spans="1:10" ht="40.5" customHeight="1" x14ac:dyDescent="0.4">
      <c r="A29" s="15"/>
      <c r="B29" s="9">
        <v>28</v>
      </c>
      <c r="C29" s="9">
        <v>2359</v>
      </c>
      <c r="D29" s="19" t="s">
        <v>41</v>
      </c>
      <c r="E29" s="11" t="s">
        <v>61</v>
      </c>
      <c r="F29" s="12"/>
      <c r="G29" s="13" t="s">
        <v>9</v>
      </c>
      <c r="H29" s="14"/>
      <c r="I29" s="16"/>
    </row>
    <row r="30" spans="1:10" ht="40.5" customHeight="1" x14ac:dyDescent="0.4">
      <c r="A30" s="15"/>
      <c r="B30" s="9">
        <v>29</v>
      </c>
      <c r="C30" s="9">
        <v>2955</v>
      </c>
      <c r="D30" s="19" t="s">
        <v>41</v>
      </c>
      <c r="E30" s="11" t="s">
        <v>62</v>
      </c>
      <c r="F30" s="12"/>
      <c r="G30" s="13" t="s">
        <v>9</v>
      </c>
      <c r="H30" s="14"/>
      <c r="I30" s="16"/>
    </row>
    <row r="31" spans="1:10" ht="40.5" customHeight="1" x14ac:dyDescent="0.4">
      <c r="A31" s="15"/>
      <c r="B31" s="9">
        <v>30</v>
      </c>
      <c r="C31" s="9">
        <v>5169</v>
      </c>
      <c r="D31" s="19" t="s">
        <v>41</v>
      </c>
      <c r="E31" s="11" t="s">
        <v>63</v>
      </c>
      <c r="F31" s="12" t="s">
        <v>9</v>
      </c>
      <c r="G31" s="13" t="s">
        <v>9</v>
      </c>
      <c r="H31" s="14"/>
      <c r="I31" s="16"/>
    </row>
    <row r="32" spans="1:10" ht="40.5" customHeight="1" x14ac:dyDescent="0.4">
      <c r="A32" s="15"/>
      <c r="B32" s="9">
        <v>31</v>
      </c>
      <c r="C32" s="9">
        <v>4710</v>
      </c>
      <c r="D32" s="19" t="s">
        <v>41</v>
      </c>
      <c r="E32" s="11" t="s">
        <v>64</v>
      </c>
      <c r="F32" s="12" t="s">
        <v>9</v>
      </c>
      <c r="G32" s="13" t="s">
        <v>9</v>
      </c>
      <c r="H32" s="14"/>
      <c r="I32" s="16"/>
    </row>
    <row r="33" spans="1:9" ht="40.5" customHeight="1" x14ac:dyDescent="0.4">
      <c r="A33" s="15"/>
      <c r="B33" s="9">
        <v>32</v>
      </c>
      <c r="C33" s="9">
        <v>3007</v>
      </c>
      <c r="D33" s="19" t="s">
        <v>41</v>
      </c>
      <c r="E33" s="11" t="s">
        <v>65</v>
      </c>
      <c r="F33" s="12"/>
      <c r="G33" s="13" t="s">
        <v>9</v>
      </c>
      <c r="H33" s="14"/>
      <c r="I33" s="16"/>
    </row>
    <row r="34" spans="1:9" ht="40.5" customHeight="1" x14ac:dyDescent="0.4">
      <c r="A34" s="15"/>
      <c r="B34" s="9">
        <v>33</v>
      </c>
      <c r="C34" s="9">
        <v>4347</v>
      </c>
      <c r="D34" s="19" t="s">
        <v>41</v>
      </c>
      <c r="E34" s="11" t="s">
        <v>66</v>
      </c>
      <c r="F34" s="12"/>
      <c r="G34" s="13" t="s">
        <v>9</v>
      </c>
      <c r="H34" s="14"/>
      <c r="I34" s="16"/>
    </row>
    <row r="35" spans="1:9" ht="40.5" customHeight="1" x14ac:dyDescent="0.4">
      <c r="A35" s="15"/>
      <c r="B35" s="9">
        <v>34</v>
      </c>
      <c r="C35" s="9">
        <v>5168</v>
      </c>
      <c r="D35" s="19" t="s">
        <v>41</v>
      </c>
      <c r="E35" s="11" t="s">
        <v>67</v>
      </c>
      <c r="F35" s="12"/>
      <c r="G35" s="13" t="s">
        <v>9</v>
      </c>
      <c r="H35" s="14"/>
      <c r="I35" s="16"/>
    </row>
    <row r="36" spans="1:9" ht="40.5" customHeight="1" x14ac:dyDescent="0.4">
      <c r="A36" s="15"/>
      <c r="B36" s="9">
        <v>35</v>
      </c>
      <c r="C36" s="9">
        <v>4870</v>
      </c>
      <c r="D36" s="19" t="s">
        <v>41</v>
      </c>
      <c r="E36" s="11" t="s">
        <v>68</v>
      </c>
      <c r="F36" s="12"/>
      <c r="G36" s="13" t="s">
        <v>9</v>
      </c>
      <c r="H36" s="14"/>
      <c r="I36" s="16"/>
    </row>
    <row r="37" spans="1:9" ht="40.5" customHeight="1" x14ac:dyDescent="0.4">
      <c r="A37" s="15"/>
      <c r="B37" s="9">
        <v>36</v>
      </c>
      <c r="C37" s="9">
        <v>2595</v>
      </c>
      <c r="D37" s="19" t="s">
        <v>41</v>
      </c>
      <c r="E37" s="11" t="s">
        <v>69</v>
      </c>
      <c r="F37" s="12"/>
      <c r="G37" s="13" t="s">
        <v>9</v>
      </c>
      <c r="H37" s="14"/>
      <c r="I37" s="16"/>
    </row>
    <row r="38" spans="1:9" ht="38.25" customHeight="1" x14ac:dyDescent="0.4">
      <c r="A38" s="15"/>
      <c r="B38" s="9">
        <v>37</v>
      </c>
      <c r="C38" s="9">
        <v>1625</v>
      </c>
      <c r="D38" s="21" t="s">
        <v>70</v>
      </c>
      <c r="E38" s="11" t="s">
        <v>71</v>
      </c>
      <c r="F38" s="22"/>
      <c r="G38" s="23" t="s">
        <v>72</v>
      </c>
      <c r="H38" s="14"/>
      <c r="I38" s="16"/>
    </row>
    <row r="39" spans="1:9" ht="38.25" customHeight="1" x14ac:dyDescent="0.4">
      <c r="A39" s="15"/>
      <c r="B39" s="9">
        <v>38</v>
      </c>
      <c r="C39" s="9">
        <v>2415</v>
      </c>
      <c r="D39" s="21" t="s">
        <v>70</v>
      </c>
      <c r="E39" s="11" t="s">
        <v>73</v>
      </c>
      <c r="F39" s="12"/>
      <c r="G39" s="13"/>
      <c r="H39" s="14"/>
      <c r="I39" s="16"/>
    </row>
    <row r="40" spans="1:9" ht="44.25" customHeight="1" x14ac:dyDescent="0.4">
      <c r="A40" s="15"/>
      <c r="B40" s="9">
        <v>39</v>
      </c>
      <c r="C40" s="9">
        <v>5299</v>
      </c>
      <c r="D40" s="21" t="s">
        <v>70</v>
      </c>
      <c r="E40" s="11" t="s">
        <v>74</v>
      </c>
      <c r="F40" s="12"/>
      <c r="G40" s="13"/>
      <c r="H40" s="14"/>
      <c r="I40" s="16"/>
    </row>
    <row r="41" spans="1:9" ht="38.25" customHeight="1" x14ac:dyDescent="0.4">
      <c r="A41" s="15"/>
      <c r="B41" s="9">
        <v>40</v>
      </c>
      <c r="C41" s="9">
        <v>181</v>
      </c>
      <c r="D41" s="21" t="s">
        <v>70</v>
      </c>
      <c r="E41" s="11" t="s">
        <v>75</v>
      </c>
      <c r="F41" s="12"/>
      <c r="G41" s="13"/>
      <c r="H41" s="14"/>
      <c r="I41" s="16"/>
    </row>
    <row r="42" spans="1:9" ht="38.25" customHeight="1" x14ac:dyDescent="0.4">
      <c r="A42" s="15"/>
      <c r="B42" s="9">
        <v>41</v>
      </c>
      <c r="C42" s="9">
        <v>301</v>
      </c>
      <c r="D42" s="21" t="s">
        <v>70</v>
      </c>
      <c r="E42" s="11" t="s">
        <v>76</v>
      </c>
      <c r="F42" s="22"/>
      <c r="G42" s="23" t="s">
        <v>77</v>
      </c>
      <c r="H42" s="14"/>
      <c r="I42" s="16"/>
    </row>
    <row r="43" spans="1:9" ht="38.25" customHeight="1" x14ac:dyDescent="0.4">
      <c r="A43" s="15"/>
      <c r="B43" s="9">
        <v>42</v>
      </c>
      <c r="C43" s="9">
        <v>3938</v>
      </c>
      <c r="D43" s="24" t="s">
        <v>78</v>
      </c>
      <c r="E43" s="11" t="s">
        <v>79</v>
      </c>
      <c r="F43" s="12"/>
      <c r="G43" s="13" t="s">
        <v>9</v>
      </c>
      <c r="H43" s="14"/>
    </row>
    <row r="44" spans="1:9" ht="38.25" customHeight="1" x14ac:dyDescent="0.4">
      <c r="A44" s="15"/>
      <c r="B44" s="9">
        <v>43</v>
      </c>
      <c r="C44" s="9">
        <v>3851</v>
      </c>
      <c r="D44" s="24" t="s">
        <v>78</v>
      </c>
      <c r="E44" s="11" t="s">
        <v>80</v>
      </c>
      <c r="F44" s="12"/>
      <c r="G44" s="13" t="s">
        <v>9</v>
      </c>
      <c r="H44" s="14"/>
    </row>
    <row r="45" spans="1:9" ht="38.25" customHeight="1" x14ac:dyDescent="0.4">
      <c r="A45" s="15"/>
      <c r="B45" s="9">
        <v>44</v>
      </c>
      <c r="C45" s="9">
        <v>3763</v>
      </c>
      <c r="D45" s="24" t="s">
        <v>78</v>
      </c>
      <c r="E45" s="11" t="s">
        <v>81</v>
      </c>
      <c r="F45" s="12"/>
      <c r="G45" s="13" t="s">
        <v>9</v>
      </c>
      <c r="H45" s="14"/>
    </row>
    <row r="46" spans="1:9" ht="38.25" customHeight="1" x14ac:dyDescent="0.4">
      <c r="A46" s="15"/>
      <c r="B46" s="9">
        <v>45</v>
      </c>
      <c r="C46" s="9">
        <v>3122</v>
      </c>
      <c r="D46" s="24" t="s">
        <v>78</v>
      </c>
      <c r="E46" s="11" t="s">
        <v>82</v>
      </c>
      <c r="F46" s="12"/>
      <c r="G46" s="13" t="s">
        <v>9</v>
      </c>
      <c r="H46" s="14"/>
    </row>
    <row r="47" spans="1:9" ht="58.5" customHeight="1" x14ac:dyDescent="0.4">
      <c r="A47" s="15"/>
      <c r="B47" s="9">
        <v>47</v>
      </c>
      <c r="C47" s="9">
        <v>2974</v>
      </c>
      <c r="D47" s="24" t="s">
        <v>83</v>
      </c>
      <c r="E47" s="11" t="s">
        <v>84</v>
      </c>
      <c r="F47" s="12"/>
      <c r="G47" s="13" t="s">
        <v>9</v>
      </c>
      <c r="H47" s="14"/>
    </row>
    <row r="48" spans="1:9" ht="38.25" customHeight="1" x14ac:dyDescent="0.4">
      <c r="A48" s="15"/>
      <c r="B48" s="9">
        <v>48</v>
      </c>
      <c r="C48" s="9">
        <v>2567</v>
      </c>
      <c r="D48" s="24" t="s">
        <v>83</v>
      </c>
      <c r="E48" s="11" t="s">
        <v>85</v>
      </c>
      <c r="F48" s="12"/>
      <c r="G48" s="13" t="s">
        <v>9</v>
      </c>
      <c r="H48" s="14"/>
    </row>
    <row r="49" spans="1:8" ht="38.25" customHeight="1" x14ac:dyDescent="0.4">
      <c r="A49" s="15"/>
      <c r="B49" s="9">
        <v>49</v>
      </c>
      <c r="C49" s="9">
        <v>5053</v>
      </c>
      <c r="D49" s="24" t="s">
        <v>83</v>
      </c>
      <c r="E49" s="11" t="s">
        <v>86</v>
      </c>
      <c r="F49" s="12"/>
      <c r="G49" s="13" t="s">
        <v>9</v>
      </c>
      <c r="H49" s="14"/>
    </row>
    <row r="50" spans="1:8" ht="38.25" customHeight="1" x14ac:dyDescent="0.4">
      <c r="A50" s="15"/>
      <c r="B50" s="9">
        <v>50</v>
      </c>
      <c r="C50" s="9">
        <v>3940</v>
      </c>
      <c r="D50" s="24" t="s">
        <v>78</v>
      </c>
      <c r="E50" s="11" t="s">
        <v>87</v>
      </c>
      <c r="F50" s="12" t="s">
        <v>9</v>
      </c>
      <c r="G50" s="13" t="s">
        <v>9</v>
      </c>
      <c r="H50" s="14"/>
    </row>
    <row r="51" spans="1:8" ht="38.25" customHeight="1" x14ac:dyDescent="0.4">
      <c r="A51" s="15"/>
      <c r="B51" s="9">
        <v>51</v>
      </c>
      <c r="C51" s="9">
        <v>2431</v>
      </c>
      <c r="D51" s="24" t="s">
        <v>78</v>
      </c>
      <c r="E51" s="11" t="s">
        <v>88</v>
      </c>
      <c r="F51" s="12"/>
      <c r="G51" s="13" t="s">
        <v>9</v>
      </c>
      <c r="H51" s="14"/>
    </row>
    <row r="52" spans="1:8" ht="38.25" customHeight="1" x14ac:dyDescent="0.4">
      <c r="A52" s="15"/>
      <c r="B52" s="9">
        <v>52</v>
      </c>
      <c r="C52" s="9">
        <v>3690</v>
      </c>
      <c r="D52" s="24" t="s">
        <v>83</v>
      </c>
      <c r="E52" s="11" t="s">
        <v>89</v>
      </c>
      <c r="F52" s="12"/>
      <c r="G52" s="13" t="s">
        <v>9</v>
      </c>
      <c r="H52" s="14"/>
    </row>
    <row r="53" spans="1:8" ht="38.25" customHeight="1" x14ac:dyDescent="0.4">
      <c r="A53" s="15"/>
      <c r="B53" s="9">
        <v>53</v>
      </c>
      <c r="C53" s="9">
        <v>3689</v>
      </c>
      <c r="D53" s="24" t="s">
        <v>83</v>
      </c>
      <c r="E53" s="11" t="s">
        <v>90</v>
      </c>
      <c r="F53" s="12"/>
      <c r="G53" s="13" t="s">
        <v>9</v>
      </c>
      <c r="H53" s="14"/>
    </row>
    <row r="54" spans="1:8" ht="38.25" customHeight="1" x14ac:dyDescent="0.4">
      <c r="A54" s="15"/>
      <c r="B54" s="9">
        <v>54</v>
      </c>
      <c r="C54" s="9">
        <v>3855</v>
      </c>
      <c r="D54" s="24" t="s">
        <v>78</v>
      </c>
      <c r="E54" s="11" t="s">
        <v>91</v>
      </c>
      <c r="F54" s="12"/>
      <c r="G54" s="13" t="s">
        <v>9</v>
      </c>
      <c r="H54" s="14"/>
    </row>
    <row r="55" spans="1:8" ht="38.25" customHeight="1" x14ac:dyDescent="0.4">
      <c r="A55" s="15"/>
      <c r="B55" s="9">
        <v>55</v>
      </c>
      <c r="C55" s="9">
        <v>3470</v>
      </c>
      <c r="D55" s="24" t="s">
        <v>83</v>
      </c>
      <c r="E55" s="11" t="s">
        <v>92</v>
      </c>
      <c r="F55" s="12"/>
      <c r="G55" s="13" t="s">
        <v>9</v>
      </c>
      <c r="H55" s="14"/>
    </row>
    <row r="56" spans="1:8" ht="38.25" customHeight="1" x14ac:dyDescent="0.4">
      <c r="A56" s="15"/>
      <c r="B56" s="9">
        <v>56</v>
      </c>
      <c r="C56" s="9">
        <v>3848</v>
      </c>
      <c r="D56" s="24" t="s">
        <v>78</v>
      </c>
      <c r="E56" s="11" t="s">
        <v>93</v>
      </c>
      <c r="F56" s="12"/>
      <c r="G56" s="13" t="s">
        <v>9</v>
      </c>
      <c r="H56" s="14"/>
    </row>
    <row r="57" spans="1:8" ht="38.25" customHeight="1" x14ac:dyDescent="0.4">
      <c r="A57" s="15"/>
      <c r="B57" s="9">
        <v>57</v>
      </c>
      <c r="C57" s="9">
        <v>2591</v>
      </c>
      <c r="D57" s="24" t="s">
        <v>83</v>
      </c>
      <c r="E57" s="11" t="s">
        <v>94</v>
      </c>
      <c r="F57" s="12"/>
      <c r="G57" s="13" t="s">
        <v>9</v>
      </c>
      <c r="H57" s="14"/>
    </row>
    <row r="58" spans="1:8" ht="38.25" customHeight="1" x14ac:dyDescent="0.4">
      <c r="A58" s="15"/>
      <c r="B58" s="9">
        <v>58</v>
      </c>
      <c r="C58" s="9">
        <v>639</v>
      </c>
      <c r="D58" s="25" t="s">
        <v>95</v>
      </c>
      <c r="E58" s="11" t="s">
        <v>96</v>
      </c>
      <c r="F58" s="12"/>
      <c r="G58" s="13" t="s">
        <v>9</v>
      </c>
      <c r="H58" s="14"/>
    </row>
    <row r="59" spans="1:8" ht="38.25" customHeight="1" x14ac:dyDescent="0.4">
      <c r="A59" s="15"/>
      <c r="B59" s="9">
        <v>59</v>
      </c>
      <c r="C59" s="9">
        <v>153</v>
      </c>
      <c r="D59" s="25" t="s">
        <v>95</v>
      </c>
      <c r="E59" s="11" t="s">
        <v>97</v>
      </c>
      <c r="F59" s="12"/>
      <c r="G59" s="13" t="s">
        <v>9</v>
      </c>
      <c r="H59" s="14"/>
    </row>
    <row r="60" spans="1:8" ht="38.25" customHeight="1" x14ac:dyDescent="0.4">
      <c r="A60" s="15"/>
      <c r="B60" s="9">
        <v>60</v>
      </c>
      <c r="C60" s="9">
        <v>2202</v>
      </c>
      <c r="D60" s="25" t="s">
        <v>95</v>
      </c>
      <c r="E60" s="11" t="s">
        <v>98</v>
      </c>
      <c r="F60" s="12"/>
      <c r="G60" s="13" t="s">
        <v>9</v>
      </c>
      <c r="H60" s="14"/>
    </row>
    <row r="61" spans="1:8" ht="38.25" customHeight="1" x14ac:dyDescent="0.4">
      <c r="A61" s="15"/>
      <c r="B61" s="9">
        <v>61</v>
      </c>
      <c r="C61" s="9">
        <v>137</v>
      </c>
      <c r="D61" s="25" t="s">
        <v>95</v>
      </c>
      <c r="E61" s="11" t="s">
        <v>99</v>
      </c>
      <c r="F61" s="12"/>
      <c r="G61" s="13" t="s">
        <v>9</v>
      </c>
      <c r="H61" s="14"/>
    </row>
    <row r="62" spans="1:8" ht="38.25" customHeight="1" x14ac:dyDescent="0.4">
      <c r="A62" s="15"/>
      <c r="B62" s="9">
        <v>62</v>
      </c>
      <c r="C62" s="9">
        <v>1188</v>
      </c>
      <c r="D62" s="25" t="s">
        <v>95</v>
      </c>
      <c r="E62" s="11" t="s">
        <v>100</v>
      </c>
      <c r="F62" s="12"/>
      <c r="G62" s="13" t="s">
        <v>9</v>
      </c>
      <c r="H62" s="14"/>
    </row>
    <row r="63" spans="1:8" ht="38.25" customHeight="1" x14ac:dyDescent="0.4">
      <c r="A63" s="15"/>
      <c r="B63" s="9">
        <v>63</v>
      </c>
      <c r="C63" s="9">
        <v>5271</v>
      </c>
      <c r="D63" s="24" t="s">
        <v>101</v>
      </c>
      <c r="E63" s="11" t="s">
        <v>102</v>
      </c>
      <c r="F63" s="12"/>
      <c r="G63" s="13" t="s">
        <v>9</v>
      </c>
      <c r="H63" s="14"/>
    </row>
    <row r="64" spans="1:8" ht="38.25" customHeight="1" x14ac:dyDescent="0.4">
      <c r="A64" s="15"/>
      <c r="B64" s="9">
        <v>64</v>
      </c>
      <c r="C64" s="9">
        <v>4854</v>
      </c>
      <c r="D64" s="24" t="s">
        <v>103</v>
      </c>
      <c r="E64" s="11" t="s">
        <v>104</v>
      </c>
      <c r="F64" s="12"/>
      <c r="G64" s="13" t="s">
        <v>9</v>
      </c>
      <c r="H64" s="14"/>
    </row>
    <row r="65" spans="1:8" ht="38.25" customHeight="1" x14ac:dyDescent="0.4">
      <c r="A65" s="15"/>
      <c r="B65" s="9">
        <v>65</v>
      </c>
      <c r="C65" s="9">
        <v>2152</v>
      </c>
      <c r="D65" s="24" t="s">
        <v>101</v>
      </c>
      <c r="E65" s="11" t="s">
        <v>105</v>
      </c>
      <c r="F65" s="12" t="s">
        <v>9</v>
      </c>
      <c r="G65" s="13" t="s">
        <v>9</v>
      </c>
      <c r="H65" s="14"/>
    </row>
    <row r="66" spans="1:8" ht="38.25" customHeight="1" x14ac:dyDescent="0.4">
      <c r="A66" s="15"/>
      <c r="B66" s="9">
        <v>66</v>
      </c>
      <c r="C66" s="9">
        <v>4956</v>
      </c>
      <c r="D66" s="24" t="s">
        <v>103</v>
      </c>
      <c r="E66" s="11" t="s">
        <v>106</v>
      </c>
      <c r="F66" s="12"/>
      <c r="G66" s="13" t="s">
        <v>9</v>
      </c>
      <c r="H66" s="14"/>
    </row>
    <row r="67" spans="1:8" ht="38.25" customHeight="1" x14ac:dyDescent="0.4">
      <c r="A67" s="15"/>
      <c r="B67" s="9">
        <v>67</v>
      </c>
      <c r="C67" s="9">
        <v>5273</v>
      </c>
      <c r="D67" s="24" t="s">
        <v>103</v>
      </c>
      <c r="E67" s="11" t="s">
        <v>107</v>
      </c>
      <c r="F67" s="12"/>
      <c r="G67" s="13" t="s">
        <v>9</v>
      </c>
      <c r="H67" s="14"/>
    </row>
    <row r="68" spans="1:8" ht="38.25" customHeight="1" x14ac:dyDescent="0.4">
      <c r="A68" s="15"/>
      <c r="B68" s="9">
        <v>68</v>
      </c>
      <c r="C68" s="9">
        <v>3691</v>
      </c>
      <c r="D68" s="24" t="s">
        <v>101</v>
      </c>
      <c r="E68" s="11" t="s">
        <v>108</v>
      </c>
      <c r="F68" s="12"/>
      <c r="G68" s="13" t="s">
        <v>9</v>
      </c>
      <c r="H68" s="14"/>
    </row>
    <row r="69" spans="1:8" ht="38.25" customHeight="1" x14ac:dyDescent="0.4">
      <c r="A69" s="15"/>
      <c r="B69" s="9">
        <v>69</v>
      </c>
      <c r="C69" s="9">
        <v>2606</v>
      </c>
      <c r="D69" s="24" t="s">
        <v>101</v>
      </c>
      <c r="E69" s="11" t="s">
        <v>109</v>
      </c>
      <c r="F69" s="12"/>
      <c r="G69" s="13" t="s">
        <v>9</v>
      </c>
      <c r="H69" s="14"/>
    </row>
    <row r="70" spans="1:8" ht="38.25" customHeight="1" x14ac:dyDescent="0.4">
      <c r="A70" s="15"/>
      <c r="B70" s="9">
        <v>70</v>
      </c>
      <c r="C70" s="9">
        <v>3692</v>
      </c>
      <c r="D70" s="24" t="s">
        <v>101</v>
      </c>
      <c r="E70" s="11" t="s">
        <v>110</v>
      </c>
      <c r="F70" s="12" t="s">
        <v>9</v>
      </c>
      <c r="G70" s="13" t="s">
        <v>9</v>
      </c>
      <c r="H70" s="14"/>
    </row>
    <row r="71" spans="1:8" ht="38.25" customHeight="1" x14ac:dyDescent="0.4">
      <c r="A71" s="15"/>
      <c r="B71" s="9">
        <v>71</v>
      </c>
      <c r="C71" s="9">
        <v>2129</v>
      </c>
      <c r="D71" s="24" t="s">
        <v>103</v>
      </c>
      <c r="E71" s="11" t="s">
        <v>111</v>
      </c>
      <c r="F71" s="12"/>
      <c r="G71" s="13" t="s">
        <v>9</v>
      </c>
      <c r="H71" s="14"/>
    </row>
    <row r="72" spans="1:8" ht="38.25" customHeight="1" x14ac:dyDescent="0.4">
      <c r="A72" s="15"/>
      <c r="B72" s="9">
        <v>72</v>
      </c>
      <c r="C72" s="9">
        <v>5151</v>
      </c>
      <c r="D72" s="24" t="s">
        <v>103</v>
      </c>
      <c r="E72" s="11" t="s">
        <v>112</v>
      </c>
      <c r="F72" s="12"/>
      <c r="G72" s="13" t="s">
        <v>9</v>
      </c>
      <c r="H72" s="14"/>
    </row>
    <row r="73" spans="1:8" ht="38.25" customHeight="1" x14ac:dyDescent="0.4">
      <c r="A73" s="15"/>
      <c r="B73" s="9">
        <v>73</v>
      </c>
      <c r="C73" s="9">
        <v>4629</v>
      </c>
      <c r="D73" s="24" t="s">
        <v>103</v>
      </c>
      <c r="E73" s="11" t="s">
        <v>113</v>
      </c>
      <c r="F73" s="12"/>
      <c r="G73" s="13" t="s">
        <v>9</v>
      </c>
      <c r="H73" s="14"/>
    </row>
    <row r="74" spans="1:8" ht="38.25" customHeight="1" x14ac:dyDescent="0.4">
      <c r="A74" s="15"/>
      <c r="B74" s="9">
        <v>74</v>
      </c>
      <c r="C74" s="9">
        <v>5097</v>
      </c>
      <c r="D74" s="24" t="s">
        <v>101</v>
      </c>
      <c r="E74" s="11" t="s">
        <v>114</v>
      </c>
      <c r="F74" s="12"/>
      <c r="G74" s="13" t="s">
        <v>9</v>
      </c>
      <c r="H74" s="14"/>
    </row>
    <row r="75" spans="1:8" ht="38.25" customHeight="1" x14ac:dyDescent="0.4">
      <c r="A75" s="15"/>
      <c r="B75" s="9">
        <v>75</v>
      </c>
      <c r="C75" s="9">
        <v>5074</v>
      </c>
      <c r="D75" s="24" t="s">
        <v>101</v>
      </c>
      <c r="E75" s="11" t="s">
        <v>115</v>
      </c>
      <c r="F75" s="12"/>
      <c r="G75" s="13" t="s">
        <v>9</v>
      </c>
      <c r="H75" s="14"/>
    </row>
    <row r="76" spans="1:8" ht="38.25" customHeight="1" x14ac:dyDescent="0.4">
      <c r="A76" s="15"/>
      <c r="B76" s="9">
        <v>77</v>
      </c>
      <c r="C76" s="9">
        <v>3062</v>
      </c>
      <c r="D76" s="26" t="s">
        <v>116</v>
      </c>
      <c r="E76" s="11" t="s">
        <v>117</v>
      </c>
      <c r="F76" s="12"/>
      <c r="G76" s="13" t="s">
        <v>9</v>
      </c>
      <c r="H76" s="14"/>
    </row>
    <row r="77" spans="1:8" ht="38.25" customHeight="1" x14ac:dyDescent="0.4">
      <c r="A77" s="15"/>
      <c r="B77" s="9">
        <v>78</v>
      </c>
      <c r="C77" s="9">
        <v>3061</v>
      </c>
      <c r="D77" s="26" t="s">
        <v>116</v>
      </c>
      <c r="E77" s="11" t="s">
        <v>118</v>
      </c>
      <c r="F77" s="12"/>
      <c r="G77" s="13" t="s">
        <v>9</v>
      </c>
      <c r="H77" s="14"/>
    </row>
    <row r="78" spans="1:8" ht="38.25" customHeight="1" x14ac:dyDescent="0.4">
      <c r="A78" s="15"/>
      <c r="B78" s="9">
        <v>79</v>
      </c>
      <c r="C78" s="9">
        <v>5122</v>
      </c>
      <c r="D78" s="26" t="s">
        <v>116</v>
      </c>
      <c r="E78" s="11" t="s">
        <v>119</v>
      </c>
      <c r="F78" s="12"/>
      <c r="G78" s="13" t="s">
        <v>9</v>
      </c>
      <c r="H78" s="14"/>
    </row>
    <row r="79" spans="1:8" ht="38.25" customHeight="1" x14ac:dyDescent="0.4">
      <c r="A79" s="15"/>
      <c r="B79" s="9">
        <v>80</v>
      </c>
      <c r="C79" s="9">
        <v>3657</v>
      </c>
      <c r="D79" s="26" t="s">
        <v>116</v>
      </c>
      <c r="E79" s="11" t="s">
        <v>120</v>
      </c>
      <c r="F79" s="12"/>
      <c r="G79" s="13" t="s">
        <v>9</v>
      </c>
      <c r="H79" s="14"/>
    </row>
    <row r="80" spans="1:8" ht="38.25" customHeight="1" x14ac:dyDescent="0.4">
      <c r="A80" s="15"/>
      <c r="B80" s="9">
        <v>81</v>
      </c>
      <c r="C80" s="9">
        <v>5193</v>
      </c>
      <c r="D80" s="26" t="s">
        <v>116</v>
      </c>
      <c r="E80" s="11" t="s">
        <v>121</v>
      </c>
      <c r="F80" s="12"/>
      <c r="G80" s="13" t="s">
        <v>9</v>
      </c>
      <c r="H80" s="14"/>
    </row>
    <row r="81" spans="1:8" ht="38.25" customHeight="1" x14ac:dyDescent="0.4">
      <c r="A81" s="15"/>
      <c r="B81" s="9">
        <v>82</v>
      </c>
      <c r="C81" s="9">
        <v>3068</v>
      </c>
      <c r="D81" s="26" t="s">
        <v>116</v>
      </c>
      <c r="E81" s="11" t="s">
        <v>122</v>
      </c>
      <c r="F81" s="12"/>
      <c r="G81" s="13" t="s">
        <v>9</v>
      </c>
      <c r="H81" s="14"/>
    </row>
    <row r="82" spans="1:8" ht="38.25" customHeight="1" x14ac:dyDescent="0.4">
      <c r="A82" s="15"/>
      <c r="B82" s="9">
        <v>83</v>
      </c>
      <c r="C82" s="9">
        <v>5263</v>
      </c>
      <c r="D82" s="26" t="s">
        <v>116</v>
      </c>
      <c r="E82" s="11" t="s">
        <v>123</v>
      </c>
      <c r="F82" s="12"/>
      <c r="G82" s="13" t="s">
        <v>9</v>
      </c>
      <c r="H82" s="14"/>
    </row>
    <row r="83" spans="1:8" ht="38.25" customHeight="1" x14ac:dyDescent="0.4">
      <c r="A83" s="15"/>
      <c r="B83" s="9">
        <v>84</v>
      </c>
      <c r="C83" s="9">
        <v>3172</v>
      </c>
      <c r="D83" s="26" t="s">
        <v>116</v>
      </c>
      <c r="E83" s="11" t="s">
        <v>124</v>
      </c>
      <c r="F83" s="12"/>
      <c r="G83" s="13" t="s">
        <v>9</v>
      </c>
      <c r="H83" s="14"/>
    </row>
    <row r="84" spans="1:8" ht="38.25" customHeight="1" x14ac:dyDescent="0.4">
      <c r="A84" s="15"/>
      <c r="B84" s="9">
        <v>85</v>
      </c>
      <c r="C84" s="9">
        <v>3070</v>
      </c>
      <c r="D84" s="26" t="s">
        <v>116</v>
      </c>
      <c r="E84" s="11" t="s">
        <v>125</v>
      </c>
      <c r="F84" s="12"/>
      <c r="G84" s="13" t="s">
        <v>9</v>
      </c>
      <c r="H84" s="14"/>
    </row>
    <row r="85" spans="1:8" ht="38.25" customHeight="1" x14ac:dyDescent="0.4">
      <c r="A85" s="15"/>
      <c r="B85" s="9">
        <v>86</v>
      </c>
      <c r="C85" s="9">
        <v>5262</v>
      </c>
      <c r="D85" s="26" t="s">
        <v>116</v>
      </c>
      <c r="E85" s="11" t="s">
        <v>126</v>
      </c>
      <c r="F85" s="12"/>
      <c r="G85" s="13" t="s">
        <v>9</v>
      </c>
      <c r="H85" s="14"/>
    </row>
    <row r="86" spans="1:8" ht="38.25" customHeight="1" x14ac:dyDescent="0.4">
      <c r="A86" s="15"/>
      <c r="B86" s="9">
        <v>87</v>
      </c>
      <c r="C86" s="9">
        <v>5309</v>
      </c>
      <c r="D86" s="26" t="s">
        <v>127</v>
      </c>
      <c r="E86" s="11" t="s">
        <v>128</v>
      </c>
      <c r="F86" s="12"/>
      <c r="G86" s="13" t="s">
        <v>9</v>
      </c>
      <c r="H86" s="14"/>
    </row>
    <row r="87" spans="1:8" ht="38.25" customHeight="1" x14ac:dyDescent="0.4">
      <c r="A87" s="15"/>
      <c r="B87" s="9">
        <v>88</v>
      </c>
      <c r="C87" s="9">
        <v>3069</v>
      </c>
      <c r="D87" s="26" t="s">
        <v>116</v>
      </c>
      <c r="E87" s="11" t="s">
        <v>129</v>
      </c>
      <c r="F87" s="12"/>
      <c r="G87" s="13" t="s">
        <v>9</v>
      </c>
      <c r="H87" s="14"/>
    </row>
    <row r="88" spans="1:8" ht="38.25" customHeight="1" x14ac:dyDescent="0.4">
      <c r="A88" s="15"/>
      <c r="B88" s="9">
        <v>89</v>
      </c>
      <c r="C88" s="9">
        <v>3060</v>
      </c>
      <c r="D88" s="26" t="s">
        <v>116</v>
      </c>
      <c r="E88" s="11" t="s">
        <v>130</v>
      </c>
      <c r="F88" s="12"/>
      <c r="G88" s="13" t="s">
        <v>9</v>
      </c>
      <c r="H88" s="14"/>
    </row>
    <row r="89" spans="1:8" ht="38.25" customHeight="1" x14ac:dyDescent="0.4">
      <c r="A89" s="15"/>
      <c r="B89" s="9">
        <v>90</v>
      </c>
      <c r="C89" s="9">
        <v>5054</v>
      </c>
      <c r="D89" s="26" t="s">
        <v>116</v>
      </c>
      <c r="E89" s="11" t="s">
        <v>131</v>
      </c>
      <c r="F89" s="12"/>
      <c r="G89" s="13" t="s">
        <v>9</v>
      </c>
      <c r="H89" s="14"/>
    </row>
    <row r="90" spans="1:8" ht="38.25" customHeight="1" x14ac:dyDescent="0.4">
      <c r="A90" s="15"/>
      <c r="B90" s="9">
        <v>91</v>
      </c>
      <c r="C90" s="9">
        <v>3058</v>
      </c>
      <c r="D90" s="26" t="s">
        <v>116</v>
      </c>
      <c r="E90" s="11" t="s">
        <v>132</v>
      </c>
      <c r="F90" s="12"/>
      <c r="G90" s="13" t="s">
        <v>9</v>
      </c>
      <c r="H90" s="14"/>
    </row>
    <row r="91" spans="1:8" ht="38.25" customHeight="1" x14ac:dyDescent="0.4">
      <c r="A91" s="15"/>
      <c r="B91" s="9">
        <v>92</v>
      </c>
      <c r="C91" s="9">
        <v>5011</v>
      </c>
      <c r="D91" s="27" t="s">
        <v>133</v>
      </c>
      <c r="E91" s="11" t="s">
        <v>134</v>
      </c>
      <c r="F91" s="12"/>
      <c r="G91" s="13" t="s">
        <v>9</v>
      </c>
      <c r="H91" s="14"/>
    </row>
    <row r="92" spans="1:8" ht="38.25" customHeight="1" x14ac:dyDescent="0.4">
      <c r="A92" s="15"/>
      <c r="B92" s="9">
        <v>93</v>
      </c>
      <c r="C92" s="9">
        <v>4283</v>
      </c>
      <c r="D92" s="27" t="s">
        <v>133</v>
      </c>
      <c r="E92" s="11" t="s">
        <v>135</v>
      </c>
      <c r="F92" s="12"/>
      <c r="G92" s="13" t="s">
        <v>9</v>
      </c>
      <c r="H92" s="14"/>
    </row>
    <row r="93" spans="1:8" ht="38.25" customHeight="1" x14ac:dyDescent="0.4">
      <c r="A93" s="15"/>
      <c r="B93" s="9">
        <v>94</v>
      </c>
      <c r="C93" s="9">
        <v>5298</v>
      </c>
      <c r="D93" s="27" t="s">
        <v>133</v>
      </c>
      <c r="E93" s="11" t="s">
        <v>136</v>
      </c>
      <c r="F93" s="12"/>
      <c r="G93" s="13" t="s">
        <v>9</v>
      </c>
      <c r="H93" s="14"/>
    </row>
    <row r="94" spans="1:8" ht="38.25" customHeight="1" x14ac:dyDescent="0.4">
      <c r="A94" s="15"/>
      <c r="B94" s="9"/>
      <c r="C94" s="9">
        <v>5319</v>
      </c>
      <c r="D94" s="27" t="s">
        <v>137</v>
      </c>
      <c r="E94" s="11" t="s">
        <v>138</v>
      </c>
      <c r="F94" s="12" t="s">
        <v>9</v>
      </c>
      <c r="G94" s="13"/>
      <c r="H94" s="14"/>
    </row>
    <row r="95" spans="1:8" ht="38.25" customHeight="1" x14ac:dyDescent="0.4">
      <c r="A95" s="15"/>
      <c r="B95" s="9">
        <v>95</v>
      </c>
      <c r="C95" s="9">
        <v>4294</v>
      </c>
      <c r="D95" s="27" t="s">
        <v>137</v>
      </c>
      <c r="E95" s="11" t="s">
        <v>139</v>
      </c>
      <c r="F95" s="12"/>
      <c r="G95" s="13" t="s">
        <v>9</v>
      </c>
      <c r="H95" s="14"/>
    </row>
    <row r="96" spans="1:8" ht="38.25" customHeight="1" x14ac:dyDescent="0.4">
      <c r="A96" s="15"/>
      <c r="B96" s="9">
        <v>96</v>
      </c>
      <c r="C96" s="9">
        <v>5069</v>
      </c>
      <c r="D96" s="27" t="s">
        <v>137</v>
      </c>
      <c r="E96" s="11" t="s">
        <v>140</v>
      </c>
      <c r="F96" s="12"/>
      <c r="G96" s="13" t="s">
        <v>9</v>
      </c>
      <c r="H96" s="14"/>
    </row>
    <row r="97" spans="1:8" ht="38.25" customHeight="1" x14ac:dyDescent="0.4">
      <c r="A97" s="15"/>
      <c r="B97" s="9">
        <v>97</v>
      </c>
      <c r="C97" s="9">
        <v>4700</v>
      </c>
      <c r="D97" s="27" t="s">
        <v>137</v>
      </c>
      <c r="E97" s="11" t="s">
        <v>141</v>
      </c>
      <c r="F97" s="12"/>
      <c r="G97" s="13" t="s">
        <v>9</v>
      </c>
      <c r="H97" s="14"/>
    </row>
    <row r="98" spans="1:8" ht="38.25" customHeight="1" x14ac:dyDescent="0.4">
      <c r="A98" s="15"/>
      <c r="B98" s="9">
        <v>98</v>
      </c>
      <c r="C98" s="9">
        <v>5255</v>
      </c>
      <c r="D98" s="27" t="s">
        <v>133</v>
      </c>
      <c r="E98" s="11" t="s">
        <v>142</v>
      </c>
      <c r="F98" s="12"/>
      <c r="G98" s="13" t="s">
        <v>9</v>
      </c>
      <c r="H98" s="14"/>
    </row>
    <row r="99" spans="1:8" ht="38.25" customHeight="1" x14ac:dyDescent="0.4">
      <c r="A99" s="15"/>
      <c r="B99" s="9">
        <v>99</v>
      </c>
      <c r="C99" s="9">
        <v>5304</v>
      </c>
      <c r="D99" s="27" t="s">
        <v>133</v>
      </c>
      <c r="E99" s="11" t="s">
        <v>143</v>
      </c>
      <c r="F99" s="12"/>
      <c r="G99" s="13" t="s">
        <v>9</v>
      </c>
      <c r="H99" s="14"/>
    </row>
    <row r="100" spans="1:8" ht="38.25" customHeight="1" x14ac:dyDescent="0.4">
      <c r="A100" s="15"/>
      <c r="B100" s="9">
        <v>100</v>
      </c>
      <c r="C100" s="9">
        <v>5046</v>
      </c>
      <c r="D100" s="27" t="s">
        <v>137</v>
      </c>
      <c r="E100" s="11" t="s">
        <v>144</v>
      </c>
      <c r="F100" s="12"/>
      <c r="G100" s="13" t="s">
        <v>9</v>
      </c>
      <c r="H100" s="14"/>
    </row>
    <row r="101" spans="1:8" ht="38.25" customHeight="1" x14ac:dyDescent="0.4">
      <c r="A101" s="15"/>
      <c r="B101" s="9">
        <v>101</v>
      </c>
      <c r="C101" s="9">
        <v>5048</v>
      </c>
      <c r="D101" s="27" t="s">
        <v>137</v>
      </c>
      <c r="E101" s="11" t="s">
        <v>145</v>
      </c>
      <c r="F101" s="12"/>
      <c r="G101" s="13" t="s">
        <v>9</v>
      </c>
      <c r="H101" s="14"/>
    </row>
    <row r="102" spans="1:8" ht="38.25" customHeight="1" x14ac:dyDescent="0.4">
      <c r="A102" s="15"/>
      <c r="B102" s="9">
        <v>102</v>
      </c>
      <c r="C102" s="9">
        <v>5293</v>
      </c>
      <c r="D102" s="27" t="s">
        <v>133</v>
      </c>
      <c r="E102" s="11" t="s">
        <v>146</v>
      </c>
      <c r="F102" s="12"/>
      <c r="G102" s="13" t="s">
        <v>9</v>
      </c>
      <c r="H102" s="14"/>
    </row>
    <row r="103" spans="1:8" ht="38.25" customHeight="1" x14ac:dyDescent="0.4">
      <c r="A103" s="15"/>
      <c r="B103" s="9">
        <v>103</v>
      </c>
      <c r="C103" s="9">
        <v>3534</v>
      </c>
      <c r="D103" s="27" t="s">
        <v>133</v>
      </c>
      <c r="E103" s="11" t="s">
        <v>147</v>
      </c>
      <c r="F103" s="12"/>
      <c r="G103" s="13" t="s">
        <v>9</v>
      </c>
      <c r="H103" s="14"/>
    </row>
    <row r="104" spans="1:8" ht="38.25" customHeight="1" x14ac:dyDescent="0.4">
      <c r="A104" s="15"/>
      <c r="B104" s="9">
        <v>104</v>
      </c>
      <c r="C104" s="9">
        <v>5022</v>
      </c>
      <c r="D104" s="27" t="s">
        <v>137</v>
      </c>
      <c r="E104" s="11" t="s">
        <v>148</v>
      </c>
      <c r="F104" s="12"/>
      <c r="G104" s="13" t="s">
        <v>9</v>
      </c>
      <c r="H104" s="14"/>
    </row>
    <row r="105" spans="1:8" ht="38.25" customHeight="1" x14ac:dyDescent="0.4">
      <c r="A105" s="15"/>
      <c r="B105" s="9">
        <v>105</v>
      </c>
      <c r="C105" s="9">
        <v>230</v>
      </c>
      <c r="D105" s="27" t="s">
        <v>133</v>
      </c>
      <c r="E105" s="11" t="s">
        <v>149</v>
      </c>
      <c r="F105" s="12"/>
      <c r="G105" s="13" t="s">
        <v>9</v>
      </c>
      <c r="H105" s="14"/>
    </row>
    <row r="106" spans="1:8" ht="38.25" customHeight="1" x14ac:dyDescent="0.4">
      <c r="A106" s="15"/>
      <c r="B106" s="9">
        <v>106</v>
      </c>
      <c r="C106" s="9">
        <v>5238</v>
      </c>
      <c r="D106" s="28" t="s">
        <v>150</v>
      </c>
      <c r="E106" s="11" t="s">
        <v>151</v>
      </c>
      <c r="F106" s="12"/>
      <c r="G106" s="13" t="s">
        <v>9</v>
      </c>
      <c r="H106" s="14"/>
    </row>
    <row r="107" spans="1:8" ht="38.25" customHeight="1" x14ac:dyDescent="0.4">
      <c r="A107" s="15"/>
      <c r="B107" s="9">
        <v>107</v>
      </c>
      <c r="C107" s="9">
        <v>5101</v>
      </c>
      <c r="D107" s="28" t="s">
        <v>150</v>
      </c>
      <c r="E107" s="11" t="s">
        <v>152</v>
      </c>
      <c r="F107" s="12"/>
      <c r="G107" s="13" t="s">
        <v>9</v>
      </c>
      <c r="H107" s="14"/>
    </row>
    <row r="108" spans="1:8" ht="38.25" customHeight="1" x14ac:dyDescent="0.4">
      <c r="A108" s="15"/>
      <c r="B108" s="9">
        <v>108</v>
      </c>
      <c r="C108" s="9">
        <v>5237</v>
      </c>
      <c r="D108" s="28" t="s">
        <v>150</v>
      </c>
      <c r="E108" s="11" t="s">
        <v>153</v>
      </c>
      <c r="F108" s="12"/>
      <c r="G108" s="13" t="s">
        <v>9</v>
      </c>
      <c r="H108" s="14"/>
    </row>
    <row r="109" spans="1:8" ht="38.25" customHeight="1" x14ac:dyDescent="0.4">
      <c r="A109" s="15"/>
      <c r="B109" s="9">
        <v>109</v>
      </c>
      <c r="C109" s="9">
        <v>5108</v>
      </c>
      <c r="D109" s="28" t="s">
        <v>150</v>
      </c>
      <c r="E109" s="11" t="s">
        <v>154</v>
      </c>
      <c r="F109" s="12" t="s">
        <v>9</v>
      </c>
      <c r="G109" s="13" t="s">
        <v>9</v>
      </c>
      <c r="H109" s="14"/>
    </row>
    <row r="110" spans="1:8" ht="38.25" customHeight="1" x14ac:dyDescent="0.4">
      <c r="A110" s="15"/>
      <c r="B110" s="9">
        <v>110</v>
      </c>
      <c r="C110" s="9">
        <v>957</v>
      </c>
      <c r="D110" s="29" t="s">
        <v>155</v>
      </c>
      <c r="E110" s="11" t="s">
        <v>156</v>
      </c>
      <c r="F110" s="12"/>
      <c r="G110" s="13" t="s">
        <v>9</v>
      </c>
      <c r="H110" s="14"/>
    </row>
    <row r="111" spans="1:8" ht="38.25" customHeight="1" x14ac:dyDescent="0.4">
      <c r="A111" s="15"/>
      <c r="B111" s="9">
        <v>111</v>
      </c>
      <c r="C111" s="9">
        <v>3139</v>
      </c>
      <c r="D111" s="29" t="s">
        <v>157</v>
      </c>
      <c r="E111" s="11" t="s">
        <v>158</v>
      </c>
      <c r="F111" s="12"/>
      <c r="G111" s="13" t="s">
        <v>9</v>
      </c>
      <c r="H111" s="14"/>
    </row>
    <row r="112" spans="1:8" ht="38.25" customHeight="1" x14ac:dyDescent="0.4">
      <c r="A112" s="15"/>
      <c r="B112" s="9">
        <v>112</v>
      </c>
      <c r="C112" s="9">
        <v>5203</v>
      </c>
      <c r="D112" s="29" t="s">
        <v>159</v>
      </c>
      <c r="E112" s="11" t="s">
        <v>160</v>
      </c>
      <c r="F112" s="12"/>
      <c r="G112" s="13" t="s">
        <v>9</v>
      </c>
      <c r="H112" s="14"/>
    </row>
    <row r="113" spans="1:8" ht="38.25" customHeight="1" x14ac:dyDescent="0.4">
      <c r="A113" s="15"/>
      <c r="B113" s="9">
        <v>113</v>
      </c>
      <c r="C113" s="9">
        <v>5199</v>
      </c>
      <c r="D113" s="29" t="s">
        <v>155</v>
      </c>
      <c r="E113" s="11" t="s">
        <v>161</v>
      </c>
      <c r="F113" s="12"/>
      <c r="G113" s="13" t="s">
        <v>9</v>
      </c>
      <c r="H113" s="14"/>
    </row>
    <row r="114" spans="1:8" ht="38.25" customHeight="1" x14ac:dyDescent="0.4">
      <c r="A114" s="15"/>
      <c r="B114" s="9">
        <v>114</v>
      </c>
      <c r="C114" s="9">
        <v>5204</v>
      </c>
      <c r="D114" s="29" t="s">
        <v>155</v>
      </c>
      <c r="E114" s="11" t="s">
        <v>162</v>
      </c>
      <c r="F114" s="12"/>
      <c r="G114" s="13" t="s">
        <v>9</v>
      </c>
      <c r="H114" s="14"/>
    </row>
    <row r="115" spans="1:8" ht="38.25" customHeight="1" x14ac:dyDescent="0.4">
      <c r="A115" s="15"/>
      <c r="B115" s="9">
        <v>115</v>
      </c>
      <c r="C115" s="9">
        <v>5202</v>
      </c>
      <c r="D115" s="29" t="s">
        <v>159</v>
      </c>
      <c r="E115" s="11" t="s">
        <v>163</v>
      </c>
      <c r="F115" s="12"/>
      <c r="G115" s="13" t="s">
        <v>9</v>
      </c>
      <c r="H115" s="14"/>
    </row>
    <row r="116" spans="1:8" ht="38.25" customHeight="1" x14ac:dyDescent="0.4">
      <c r="A116" s="15"/>
      <c r="B116" s="9">
        <v>116</v>
      </c>
      <c r="C116" s="9">
        <v>5198</v>
      </c>
      <c r="D116" s="29" t="s">
        <v>155</v>
      </c>
      <c r="E116" s="11" t="s">
        <v>164</v>
      </c>
      <c r="F116" s="12"/>
      <c r="G116" s="13" t="s">
        <v>9</v>
      </c>
      <c r="H116" s="14"/>
    </row>
    <row r="117" spans="1:8" ht="38.25" customHeight="1" x14ac:dyDescent="0.4">
      <c r="A117" s="15"/>
      <c r="B117" s="9">
        <v>117</v>
      </c>
      <c r="C117" s="9">
        <v>5205</v>
      </c>
      <c r="D117" s="29" t="s">
        <v>159</v>
      </c>
      <c r="E117" s="11" t="s">
        <v>165</v>
      </c>
      <c r="F117" s="12"/>
      <c r="G117" s="13" t="s">
        <v>9</v>
      </c>
      <c r="H117" s="14"/>
    </row>
    <row r="118" spans="1:8" ht="38.25" customHeight="1" x14ac:dyDescent="0.4">
      <c r="A118" s="15"/>
      <c r="B118" s="9">
        <v>118</v>
      </c>
      <c r="C118" s="9">
        <v>5200</v>
      </c>
      <c r="D118" s="29" t="s">
        <v>166</v>
      </c>
      <c r="E118" s="11" t="s">
        <v>167</v>
      </c>
      <c r="F118" s="12"/>
      <c r="G118" s="13" t="s">
        <v>9</v>
      </c>
      <c r="H118" s="14"/>
    </row>
    <row r="119" spans="1:8" ht="38.25" customHeight="1" x14ac:dyDescent="0.4">
      <c r="A119" s="15"/>
      <c r="B119" s="9">
        <v>119</v>
      </c>
      <c r="C119" s="9">
        <v>5201</v>
      </c>
      <c r="D119" s="29" t="s">
        <v>155</v>
      </c>
      <c r="E119" s="11" t="s">
        <v>168</v>
      </c>
      <c r="F119" s="12"/>
      <c r="G119" s="13" t="s">
        <v>9</v>
      </c>
      <c r="H119" s="14"/>
    </row>
    <row r="120" spans="1:8" ht="38.25" customHeight="1" x14ac:dyDescent="0.4">
      <c r="A120" s="15"/>
      <c r="B120" s="9">
        <v>120</v>
      </c>
      <c r="C120" s="9">
        <v>325</v>
      </c>
      <c r="D120" s="30" t="s">
        <v>169</v>
      </c>
      <c r="E120" s="11" t="s">
        <v>170</v>
      </c>
      <c r="F120" s="12" t="s">
        <v>9</v>
      </c>
      <c r="G120" s="13" t="s">
        <v>9</v>
      </c>
      <c r="H120" s="14"/>
    </row>
    <row r="121" spans="1:8" ht="46.5" customHeight="1" x14ac:dyDescent="0.4">
      <c r="A121" s="15"/>
      <c r="B121" s="9">
        <v>121</v>
      </c>
      <c r="C121" s="9">
        <v>1247</v>
      </c>
      <c r="D121" s="30" t="s">
        <v>169</v>
      </c>
      <c r="E121" s="11" t="s">
        <v>171</v>
      </c>
      <c r="F121" s="12"/>
      <c r="G121" s="13" t="s">
        <v>9</v>
      </c>
      <c r="H121" s="14"/>
    </row>
    <row r="122" spans="1:8" ht="42.75" customHeight="1" x14ac:dyDescent="0.4">
      <c r="A122" s="15"/>
      <c r="B122" s="9">
        <v>122</v>
      </c>
      <c r="C122" s="9">
        <v>4844</v>
      </c>
      <c r="D122" s="31" t="s">
        <v>172</v>
      </c>
      <c r="E122" s="11" t="s">
        <v>173</v>
      </c>
      <c r="F122" s="12"/>
      <c r="G122" s="13" t="s">
        <v>9</v>
      </c>
      <c r="H122" s="14"/>
    </row>
    <row r="123" spans="1:8" ht="38.25" customHeight="1" x14ac:dyDescent="0.4">
      <c r="A123" s="15"/>
      <c r="B123" s="9">
        <v>123</v>
      </c>
      <c r="C123" s="9">
        <v>940</v>
      </c>
      <c r="D123" s="31" t="s">
        <v>172</v>
      </c>
      <c r="E123" s="11" t="s">
        <v>174</v>
      </c>
      <c r="F123" s="12"/>
      <c r="G123" s="13" t="s">
        <v>9</v>
      </c>
      <c r="H123" s="14"/>
    </row>
    <row r="124" spans="1:8" ht="38.25" customHeight="1" x14ac:dyDescent="0.4">
      <c r="A124" s="15"/>
      <c r="B124" s="9">
        <v>124</v>
      </c>
      <c r="C124" s="9">
        <v>4992</v>
      </c>
      <c r="D124" s="32" t="s">
        <v>175</v>
      </c>
      <c r="E124" s="11" t="s">
        <v>176</v>
      </c>
      <c r="F124" s="12"/>
      <c r="G124" s="13"/>
      <c r="H124" s="14"/>
    </row>
    <row r="125" spans="1:8" ht="38.25" customHeight="1" x14ac:dyDescent="0.4">
      <c r="A125" s="15"/>
      <c r="B125" s="9">
        <v>125</v>
      </c>
      <c r="C125" s="9">
        <v>5061</v>
      </c>
      <c r="D125" s="32" t="s">
        <v>175</v>
      </c>
      <c r="E125" s="11" t="s">
        <v>177</v>
      </c>
      <c r="F125" s="12"/>
      <c r="G125" s="13"/>
      <c r="H125" s="14"/>
    </row>
    <row r="126" spans="1:8" ht="38.25" customHeight="1" x14ac:dyDescent="0.4">
      <c r="A126" s="15"/>
      <c r="B126" s="9">
        <v>126</v>
      </c>
      <c r="C126" s="9">
        <v>26</v>
      </c>
      <c r="D126" s="32" t="s">
        <v>175</v>
      </c>
      <c r="E126" s="11" t="s">
        <v>178</v>
      </c>
      <c r="F126" s="12"/>
      <c r="G126" s="13" t="s">
        <v>9</v>
      </c>
      <c r="H126" s="14"/>
    </row>
    <row r="127" spans="1:8" ht="53.25" customHeight="1" x14ac:dyDescent="0.4">
      <c r="A127" s="15"/>
      <c r="B127" s="9">
        <v>127</v>
      </c>
      <c r="C127" s="9">
        <v>1064</v>
      </c>
      <c r="D127" s="32" t="s">
        <v>175</v>
      </c>
      <c r="E127" s="11" t="s">
        <v>179</v>
      </c>
      <c r="F127" s="12" t="s">
        <v>9</v>
      </c>
      <c r="G127" s="13"/>
      <c r="H127" s="14"/>
    </row>
    <row r="128" spans="1:8" ht="38.25" customHeight="1" x14ac:dyDescent="0.4">
      <c r="A128" s="15"/>
      <c r="B128" s="9">
        <v>128</v>
      </c>
      <c r="C128" s="9">
        <v>5258</v>
      </c>
      <c r="D128" s="32" t="s">
        <v>175</v>
      </c>
      <c r="E128" s="11" t="s">
        <v>180</v>
      </c>
      <c r="F128" s="12" t="s">
        <v>9</v>
      </c>
      <c r="G128" s="13"/>
      <c r="H128" s="14"/>
    </row>
    <row r="129" spans="1:8" ht="43.5" customHeight="1" x14ac:dyDescent="0.4">
      <c r="A129" s="15"/>
      <c r="B129" s="9">
        <v>129</v>
      </c>
      <c r="C129" s="9">
        <v>2141</v>
      </c>
      <c r="D129" s="32" t="s">
        <v>175</v>
      </c>
      <c r="E129" s="11" t="s">
        <v>181</v>
      </c>
      <c r="F129" s="12"/>
      <c r="G129" s="13"/>
      <c r="H129" s="14"/>
    </row>
    <row r="130" spans="1:8" ht="47.25" customHeight="1" x14ac:dyDescent="0.4">
      <c r="A130" s="15"/>
      <c r="B130" s="9">
        <v>130</v>
      </c>
      <c r="C130" s="9">
        <v>2426</v>
      </c>
      <c r="D130" s="32" t="s">
        <v>175</v>
      </c>
      <c r="E130" s="11" t="s">
        <v>182</v>
      </c>
      <c r="F130" s="12"/>
      <c r="G130" s="13"/>
      <c r="H130" s="14"/>
    </row>
    <row r="131" spans="1:8" ht="47.25" customHeight="1" x14ac:dyDescent="0.4">
      <c r="A131" s="15"/>
      <c r="B131" s="9">
        <v>131</v>
      </c>
      <c r="C131" s="9">
        <v>3036</v>
      </c>
      <c r="D131" s="32" t="s">
        <v>175</v>
      </c>
      <c r="E131" s="11" t="s">
        <v>183</v>
      </c>
      <c r="F131" s="12" t="s">
        <v>9</v>
      </c>
      <c r="G131" s="13"/>
      <c r="H131" s="14"/>
    </row>
    <row r="132" spans="1:8" ht="54" customHeight="1" x14ac:dyDescent="0.4">
      <c r="A132" s="15"/>
      <c r="B132" s="9">
        <v>132</v>
      </c>
      <c r="C132" s="9">
        <v>1775</v>
      </c>
      <c r="D132" s="32" t="s">
        <v>175</v>
      </c>
      <c r="E132" s="11" t="s">
        <v>184</v>
      </c>
      <c r="F132" s="12" t="s">
        <v>9</v>
      </c>
      <c r="G132" s="13"/>
      <c r="H132" s="14"/>
    </row>
    <row r="133" spans="1:8" ht="47.25" customHeight="1" x14ac:dyDescent="0.4">
      <c r="A133" s="15"/>
      <c r="B133" s="9">
        <v>133</v>
      </c>
      <c r="C133" s="9">
        <v>3542</v>
      </c>
      <c r="D133" s="32" t="s">
        <v>175</v>
      </c>
      <c r="E133" s="11" t="s">
        <v>185</v>
      </c>
      <c r="F133" s="22"/>
      <c r="G133" s="23" t="s">
        <v>77</v>
      </c>
      <c r="H133" s="14"/>
    </row>
    <row r="134" spans="1:8" ht="38.25" customHeight="1" x14ac:dyDescent="0.4">
      <c r="A134" s="15"/>
      <c r="B134" s="9">
        <v>134</v>
      </c>
      <c r="C134" s="9">
        <v>916</v>
      </c>
      <c r="D134" s="32" t="s">
        <v>175</v>
      </c>
      <c r="E134" s="11" t="s">
        <v>186</v>
      </c>
      <c r="F134" s="12" t="s">
        <v>9</v>
      </c>
      <c r="G134" s="13" t="s">
        <v>9</v>
      </c>
      <c r="H134" s="14"/>
    </row>
    <row r="135" spans="1:8" ht="45.75" customHeight="1" x14ac:dyDescent="0.4">
      <c r="A135" s="15"/>
      <c r="B135" s="9">
        <v>135</v>
      </c>
      <c r="C135" s="9">
        <v>4320</v>
      </c>
      <c r="D135" s="32" t="s">
        <v>175</v>
      </c>
      <c r="E135" s="11" t="s">
        <v>187</v>
      </c>
      <c r="F135" s="12"/>
      <c r="G135" s="13"/>
      <c r="H135" s="14"/>
    </row>
    <row r="136" spans="1:8" s="17" customFormat="1" ht="44.25" customHeight="1" x14ac:dyDescent="0.4">
      <c r="A136" s="15"/>
      <c r="B136" s="9">
        <v>136</v>
      </c>
      <c r="C136" s="9">
        <v>2194</v>
      </c>
      <c r="D136" s="32" t="s">
        <v>175</v>
      </c>
      <c r="E136" s="11" t="s">
        <v>188</v>
      </c>
      <c r="F136" s="12"/>
      <c r="G136" s="13" t="s">
        <v>9</v>
      </c>
      <c r="H136" s="14"/>
    </row>
    <row r="137" spans="1:8" s="17" customFormat="1" ht="44.25" customHeight="1" x14ac:dyDescent="0.4">
      <c r="A137" s="15"/>
      <c r="B137" s="9">
        <v>137</v>
      </c>
      <c r="C137" s="9">
        <v>5049</v>
      </c>
      <c r="D137" s="32" t="s">
        <v>175</v>
      </c>
      <c r="E137" s="11" t="s">
        <v>189</v>
      </c>
      <c r="F137" s="12"/>
      <c r="G137" s="13" t="s">
        <v>9</v>
      </c>
      <c r="H137" s="14"/>
    </row>
    <row r="138" spans="1:8" s="17" customFormat="1" ht="44.25" customHeight="1" x14ac:dyDescent="0.4">
      <c r="A138" s="15"/>
      <c r="B138" s="9">
        <v>138</v>
      </c>
      <c r="C138" s="9">
        <v>3234</v>
      </c>
      <c r="D138" s="32" t="s">
        <v>175</v>
      </c>
      <c r="E138" s="11" t="s">
        <v>190</v>
      </c>
      <c r="F138" s="12"/>
      <c r="G138" s="13"/>
      <c r="H138" s="14"/>
    </row>
    <row r="139" spans="1:8" s="17" customFormat="1" ht="44.25" customHeight="1" x14ac:dyDescent="0.4">
      <c r="A139" s="15"/>
      <c r="B139" s="9">
        <v>139</v>
      </c>
      <c r="C139" s="9">
        <v>4059</v>
      </c>
      <c r="D139" s="32" t="s">
        <v>175</v>
      </c>
      <c r="E139" s="11" t="s">
        <v>191</v>
      </c>
      <c r="F139" s="12" t="s">
        <v>9</v>
      </c>
      <c r="G139" s="13"/>
      <c r="H139" s="14"/>
    </row>
    <row r="140" spans="1:8" s="17" customFormat="1" ht="54.75" customHeight="1" x14ac:dyDescent="0.4">
      <c r="A140" s="15"/>
      <c r="B140" s="9">
        <v>140</v>
      </c>
      <c r="C140" s="9">
        <v>1455</v>
      </c>
      <c r="D140" s="32" t="s">
        <v>175</v>
      </c>
      <c r="E140" s="11" t="s">
        <v>192</v>
      </c>
      <c r="F140" s="12" t="s">
        <v>9</v>
      </c>
      <c r="G140" s="13" t="s">
        <v>9</v>
      </c>
      <c r="H140" s="14"/>
    </row>
    <row r="141" spans="1:8" s="17" customFormat="1" ht="44.25" customHeight="1" x14ac:dyDescent="0.4">
      <c r="A141" s="15"/>
      <c r="B141" s="9">
        <v>141</v>
      </c>
      <c r="C141" s="9">
        <v>945</v>
      </c>
      <c r="D141" s="32" t="s">
        <v>175</v>
      </c>
      <c r="E141" s="11" t="s">
        <v>193</v>
      </c>
      <c r="F141" s="12" t="s">
        <v>9</v>
      </c>
      <c r="G141" s="13"/>
      <c r="H141" s="14"/>
    </row>
    <row r="142" spans="1:8" s="17" customFormat="1" ht="44.25" customHeight="1" x14ac:dyDescent="0.4">
      <c r="A142" s="15"/>
      <c r="B142" s="9">
        <v>142</v>
      </c>
      <c r="C142" s="9">
        <v>1634</v>
      </c>
      <c r="D142" s="32" t="s">
        <v>175</v>
      </c>
      <c r="E142" s="11" t="s">
        <v>194</v>
      </c>
      <c r="F142" s="12"/>
      <c r="G142" s="13"/>
      <c r="H142" s="14"/>
    </row>
    <row r="143" spans="1:8" ht="40.5" customHeight="1" x14ac:dyDescent="0.4">
      <c r="A143" s="15"/>
      <c r="B143" s="9">
        <v>143</v>
      </c>
      <c r="C143" s="9">
        <v>4341</v>
      </c>
      <c r="D143" s="32" t="s">
        <v>175</v>
      </c>
      <c r="E143" s="11" t="s">
        <v>195</v>
      </c>
      <c r="F143" s="12"/>
      <c r="G143" s="13" t="s">
        <v>9</v>
      </c>
      <c r="H143" s="14"/>
    </row>
    <row r="144" spans="1:8" ht="40.5" customHeight="1" x14ac:dyDescent="0.4">
      <c r="A144" s="15"/>
      <c r="B144" s="9">
        <v>144</v>
      </c>
      <c r="C144" s="9">
        <v>65</v>
      </c>
      <c r="D144" s="32" t="s">
        <v>175</v>
      </c>
      <c r="E144" s="11" t="s">
        <v>196</v>
      </c>
      <c r="F144" s="12"/>
      <c r="G144" s="13"/>
      <c r="H144" s="14"/>
    </row>
    <row r="145" spans="1:8" ht="55.5" customHeight="1" x14ac:dyDescent="0.4">
      <c r="A145" s="15"/>
      <c r="B145" s="9">
        <v>145</v>
      </c>
      <c r="C145" s="9">
        <v>4530</v>
      </c>
      <c r="D145" s="32" t="s">
        <v>175</v>
      </c>
      <c r="E145" s="11" t="s">
        <v>197</v>
      </c>
      <c r="F145" s="12" t="s">
        <v>9</v>
      </c>
      <c r="G145" s="13" t="s">
        <v>9</v>
      </c>
      <c r="H145" s="14"/>
    </row>
    <row r="146" spans="1:8" ht="46.5" customHeight="1" x14ac:dyDescent="0.4">
      <c r="A146" s="15"/>
      <c r="B146" s="9">
        <v>146</v>
      </c>
      <c r="C146" s="9">
        <v>990</v>
      </c>
      <c r="D146" s="32" t="s">
        <v>175</v>
      </c>
      <c r="E146" s="11" t="s">
        <v>198</v>
      </c>
      <c r="F146" s="12"/>
      <c r="G146" s="13" t="s">
        <v>9</v>
      </c>
      <c r="H146" s="14"/>
    </row>
    <row r="147" spans="1:8" ht="46.5" customHeight="1" x14ac:dyDescent="0.4">
      <c r="A147" s="15"/>
      <c r="B147" s="9">
        <v>147</v>
      </c>
      <c r="C147" s="9">
        <v>5001</v>
      </c>
      <c r="D147" s="32" t="s">
        <v>175</v>
      </c>
      <c r="E147" s="11" t="s">
        <v>199</v>
      </c>
      <c r="F147" s="12"/>
      <c r="G147" s="13"/>
      <c r="H147" s="14"/>
    </row>
    <row r="148" spans="1:8" ht="44.25" customHeight="1" x14ac:dyDescent="0.4">
      <c r="A148" s="15"/>
      <c r="B148" s="9">
        <v>148</v>
      </c>
      <c r="C148" s="9">
        <v>3388</v>
      </c>
      <c r="D148" s="32" t="s">
        <v>175</v>
      </c>
      <c r="E148" s="11" t="s">
        <v>200</v>
      </c>
      <c r="F148" s="12"/>
      <c r="G148" s="13" t="s">
        <v>9</v>
      </c>
      <c r="H148" s="14"/>
    </row>
    <row r="149" spans="1:8" ht="44.25" customHeight="1" x14ac:dyDescent="0.4">
      <c r="A149" s="15"/>
      <c r="B149" s="9">
        <v>149</v>
      </c>
      <c r="C149" s="9">
        <v>4918</v>
      </c>
      <c r="D149" s="32" t="s">
        <v>175</v>
      </c>
      <c r="E149" s="11" t="s">
        <v>201</v>
      </c>
      <c r="F149" s="12"/>
      <c r="G149" s="13" t="s">
        <v>9</v>
      </c>
      <c r="H149" s="14"/>
    </row>
    <row r="150" spans="1:8" ht="44.25" customHeight="1" x14ac:dyDescent="0.4">
      <c r="A150" s="15"/>
      <c r="B150" s="9">
        <v>150</v>
      </c>
      <c r="C150" s="9">
        <v>2512</v>
      </c>
      <c r="D150" s="32" t="s">
        <v>175</v>
      </c>
      <c r="E150" s="11" t="s">
        <v>202</v>
      </c>
      <c r="F150" s="22"/>
      <c r="G150" s="23" t="s">
        <v>72</v>
      </c>
      <c r="H150" s="14"/>
    </row>
    <row r="151" spans="1:8" ht="44.25" customHeight="1" x14ac:dyDescent="0.4">
      <c r="A151" s="15"/>
      <c r="B151" s="9">
        <v>151</v>
      </c>
      <c r="C151" s="9">
        <v>5291</v>
      </c>
      <c r="D151" s="32" t="s">
        <v>175</v>
      </c>
      <c r="E151" s="11" t="s">
        <v>203</v>
      </c>
      <c r="F151" s="22"/>
      <c r="G151" s="23"/>
      <c r="H151" s="14"/>
    </row>
    <row r="152" spans="1:8" ht="44.25" customHeight="1" x14ac:dyDescent="0.4">
      <c r="A152" s="15"/>
      <c r="B152" s="9">
        <v>152</v>
      </c>
      <c r="C152" s="9">
        <v>1228</v>
      </c>
      <c r="D152" s="32" t="s">
        <v>175</v>
      </c>
      <c r="E152" s="11" t="s">
        <v>204</v>
      </c>
      <c r="F152" s="12"/>
      <c r="G152" s="13"/>
      <c r="H152" s="14"/>
    </row>
    <row r="153" spans="1:8" ht="44.25" customHeight="1" x14ac:dyDescent="0.4">
      <c r="A153" s="15"/>
      <c r="B153" s="9">
        <v>153</v>
      </c>
      <c r="C153" s="9">
        <v>4990</v>
      </c>
      <c r="D153" s="32" t="s">
        <v>175</v>
      </c>
      <c r="E153" s="11" t="s">
        <v>205</v>
      </c>
      <c r="F153" s="12"/>
      <c r="G153" s="13"/>
      <c r="H153" s="14"/>
    </row>
    <row r="154" spans="1:8" ht="45.75" customHeight="1" x14ac:dyDescent="0.4">
      <c r="A154" s="15"/>
      <c r="B154" s="9">
        <v>154</v>
      </c>
      <c r="C154" s="9">
        <v>538</v>
      </c>
      <c r="D154" s="32" t="s">
        <v>175</v>
      </c>
      <c r="E154" s="11" t="s">
        <v>206</v>
      </c>
      <c r="F154" s="12"/>
      <c r="G154" s="13"/>
      <c r="H154" s="14"/>
    </row>
    <row r="155" spans="1:8" ht="45.75" customHeight="1" x14ac:dyDescent="0.4">
      <c r="A155" s="15"/>
      <c r="B155" s="9">
        <v>155</v>
      </c>
      <c r="C155" s="9">
        <v>4246</v>
      </c>
      <c r="D155" s="32" t="s">
        <v>175</v>
      </c>
      <c r="E155" s="11" t="s">
        <v>207</v>
      </c>
      <c r="F155" s="12"/>
      <c r="G155" s="13"/>
      <c r="H155" s="14"/>
    </row>
    <row r="156" spans="1:8" ht="45.75" customHeight="1" x14ac:dyDescent="0.4">
      <c r="A156" s="15"/>
      <c r="B156" s="9">
        <v>156</v>
      </c>
      <c r="C156" s="9">
        <v>5115</v>
      </c>
      <c r="D156" s="32" t="s">
        <v>175</v>
      </c>
      <c r="E156" s="11" t="s">
        <v>208</v>
      </c>
      <c r="F156" s="12"/>
      <c r="G156" s="13" t="s">
        <v>9</v>
      </c>
      <c r="H156" s="14"/>
    </row>
    <row r="157" spans="1:8" ht="45.75" customHeight="1" x14ac:dyDescent="0.4">
      <c r="A157" s="15"/>
      <c r="B157" s="9">
        <v>157</v>
      </c>
      <c r="C157" s="9">
        <v>5322</v>
      </c>
      <c r="D157" s="32" t="s">
        <v>175</v>
      </c>
      <c r="E157" s="11" t="s">
        <v>209</v>
      </c>
      <c r="F157" s="12" t="s">
        <v>9</v>
      </c>
      <c r="G157" s="13" t="s">
        <v>9</v>
      </c>
      <c r="H157" s="14"/>
    </row>
    <row r="158" spans="1:8" s="17" customFormat="1" ht="46.5" customHeight="1" x14ac:dyDescent="0.4">
      <c r="A158" s="15"/>
      <c r="B158" s="9">
        <v>158</v>
      </c>
      <c r="C158" s="9">
        <v>2135</v>
      </c>
      <c r="D158" s="32" t="s">
        <v>175</v>
      </c>
      <c r="E158" s="11" t="s">
        <v>210</v>
      </c>
      <c r="F158" s="12"/>
      <c r="G158" s="13" t="s">
        <v>9</v>
      </c>
      <c r="H158" s="14"/>
    </row>
    <row r="159" spans="1:8" s="17" customFormat="1" ht="46.5" customHeight="1" x14ac:dyDescent="0.4">
      <c r="A159" s="15"/>
      <c r="B159" s="9">
        <v>159</v>
      </c>
      <c r="C159" s="9">
        <v>5045</v>
      </c>
      <c r="D159" s="32" t="s">
        <v>175</v>
      </c>
      <c r="E159" s="11" t="s">
        <v>211</v>
      </c>
      <c r="F159" s="12"/>
      <c r="G159" s="13"/>
      <c r="H159" s="14"/>
    </row>
    <row r="160" spans="1:8" ht="39.75" customHeight="1" x14ac:dyDescent="0.4">
      <c r="A160" s="15"/>
      <c r="B160" s="9">
        <v>160</v>
      </c>
      <c r="C160" s="9">
        <v>3130</v>
      </c>
      <c r="D160" s="32" t="s">
        <v>175</v>
      </c>
      <c r="E160" s="11" t="s">
        <v>212</v>
      </c>
      <c r="F160" s="12" t="s">
        <v>9</v>
      </c>
      <c r="G160" s="13" t="s">
        <v>9</v>
      </c>
      <c r="H160" s="14"/>
    </row>
    <row r="161" spans="1:8" ht="39.75" customHeight="1" x14ac:dyDescent="0.4">
      <c r="A161" s="15"/>
      <c r="B161" s="9">
        <v>161</v>
      </c>
      <c r="C161" s="9">
        <v>412</v>
      </c>
      <c r="D161" s="32" t="s">
        <v>175</v>
      </c>
      <c r="E161" s="11" t="s">
        <v>213</v>
      </c>
      <c r="F161" s="12"/>
      <c r="G161" s="13" t="s">
        <v>9</v>
      </c>
      <c r="H161" s="14"/>
    </row>
    <row r="162" spans="1:8" ht="39.75" customHeight="1" x14ac:dyDescent="0.4">
      <c r="A162" s="15"/>
      <c r="B162" s="9">
        <v>162</v>
      </c>
      <c r="C162" s="9">
        <v>479</v>
      </c>
      <c r="D162" s="32" t="s">
        <v>175</v>
      </c>
      <c r="E162" s="11" t="s">
        <v>214</v>
      </c>
      <c r="F162" s="12"/>
      <c r="G162" s="13" t="s">
        <v>9</v>
      </c>
      <c r="H162" s="14"/>
    </row>
    <row r="163" spans="1:8" ht="39.75" customHeight="1" x14ac:dyDescent="0.4">
      <c r="A163" s="15"/>
      <c r="B163" s="9">
        <v>163</v>
      </c>
      <c r="C163" s="9">
        <v>5280</v>
      </c>
      <c r="D163" s="32" t="s">
        <v>175</v>
      </c>
      <c r="E163" s="11" t="s">
        <v>215</v>
      </c>
      <c r="F163" s="12"/>
      <c r="G163" s="13" t="s">
        <v>9</v>
      </c>
      <c r="H163" s="14"/>
    </row>
    <row r="164" spans="1:8" ht="39.75" customHeight="1" x14ac:dyDescent="0.4">
      <c r="A164" s="15"/>
      <c r="B164" s="9">
        <v>164</v>
      </c>
      <c r="C164" s="9">
        <v>5037</v>
      </c>
      <c r="D164" s="32" t="s">
        <v>175</v>
      </c>
      <c r="E164" s="11" t="s">
        <v>216</v>
      </c>
      <c r="F164" s="12"/>
      <c r="G164" s="13" t="s">
        <v>9</v>
      </c>
      <c r="H164" s="14"/>
    </row>
    <row r="165" spans="1:8" ht="37.5" customHeight="1" x14ac:dyDescent="0.4">
      <c r="A165" s="15"/>
      <c r="B165" s="9">
        <v>165</v>
      </c>
      <c r="C165" s="9">
        <v>2208</v>
      </c>
      <c r="D165" s="32" t="s">
        <v>175</v>
      </c>
      <c r="E165" s="11" t="s">
        <v>217</v>
      </c>
      <c r="F165" s="12"/>
      <c r="G165" s="13"/>
      <c r="H165" s="14"/>
    </row>
    <row r="166" spans="1:8" ht="49.5" customHeight="1" x14ac:dyDescent="0.4">
      <c r="A166" s="15"/>
      <c r="B166" s="9">
        <v>166</v>
      </c>
      <c r="C166" s="9">
        <v>5024</v>
      </c>
      <c r="D166" s="32" t="s">
        <v>175</v>
      </c>
      <c r="E166" s="11" t="s">
        <v>218</v>
      </c>
      <c r="F166" s="12"/>
      <c r="G166" s="13" t="s">
        <v>9</v>
      </c>
      <c r="H166" s="14"/>
    </row>
    <row r="167" spans="1:8" ht="42" customHeight="1" x14ac:dyDescent="0.4">
      <c r="A167" s="15"/>
      <c r="B167" s="9">
        <v>167</v>
      </c>
      <c r="C167" s="9">
        <v>3076</v>
      </c>
      <c r="D167" s="32" t="s">
        <v>175</v>
      </c>
      <c r="E167" s="11" t="s">
        <v>219</v>
      </c>
      <c r="F167" s="12"/>
      <c r="G167" s="13" t="s">
        <v>9</v>
      </c>
      <c r="H167" s="14"/>
    </row>
    <row r="168" spans="1:8" ht="42" customHeight="1" x14ac:dyDescent="0.4">
      <c r="A168" s="15"/>
      <c r="B168" s="9">
        <v>168</v>
      </c>
      <c r="C168" s="9">
        <v>5032</v>
      </c>
      <c r="D168" s="32" t="s">
        <v>175</v>
      </c>
      <c r="E168" s="11" t="s">
        <v>220</v>
      </c>
      <c r="F168" s="12"/>
      <c r="G168" s="13"/>
      <c r="H168" s="14"/>
    </row>
    <row r="169" spans="1:8" ht="42" customHeight="1" x14ac:dyDescent="0.4">
      <c r="A169" s="15"/>
      <c r="B169" s="9">
        <v>169</v>
      </c>
      <c r="C169" s="9">
        <v>5087</v>
      </c>
      <c r="D169" s="32" t="s">
        <v>175</v>
      </c>
      <c r="E169" s="11" t="s">
        <v>221</v>
      </c>
      <c r="F169" s="12" t="s">
        <v>9</v>
      </c>
      <c r="G169" s="13" t="s">
        <v>9</v>
      </c>
      <c r="H169" s="14"/>
    </row>
    <row r="170" spans="1:8" ht="42" customHeight="1" x14ac:dyDescent="0.4">
      <c r="A170" s="15"/>
      <c r="B170" s="9">
        <v>170</v>
      </c>
      <c r="C170" s="9">
        <v>5083</v>
      </c>
      <c r="D170" s="32" t="s">
        <v>175</v>
      </c>
      <c r="E170" s="11" t="s">
        <v>222</v>
      </c>
      <c r="F170" s="12"/>
      <c r="G170" s="13" t="s">
        <v>9</v>
      </c>
      <c r="H170" s="14"/>
    </row>
    <row r="171" spans="1:8" ht="42" customHeight="1" x14ac:dyDescent="0.4">
      <c r="A171" s="15"/>
      <c r="B171" s="9">
        <v>171</v>
      </c>
      <c r="C171" s="9">
        <v>2457</v>
      </c>
      <c r="D171" s="32" t="s">
        <v>175</v>
      </c>
      <c r="E171" s="11" t="s">
        <v>223</v>
      </c>
      <c r="F171" s="12"/>
      <c r="G171" s="13"/>
      <c r="H171" s="14"/>
    </row>
    <row r="172" spans="1:8" ht="42" customHeight="1" x14ac:dyDescent="0.4">
      <c r="A172" s="15"/>
      <c r="B172" s="9">
        <v>172</v>
      </c>
      <c r="C172" s="9">
        <v>3888</v>
      </c>
      <c r="D172" s="32" t="s">
        <v>175</v>
      </c>
      <c r="E172" s="11" t="s">
        <v>224</v>
      </c>
      <c r="F172" s="12"/>
      <c r="G172" s="13"/>
      <c r="H172" s="14"/>
    </row>
    <row r="173" spans="1:8" ht="42" customHeight="1" x14ac:dyDescent="0.4">
      <c r="A173" s="15"/>
      <c r="B173" s="9">
        <v>173</v>
      </c>
      <c r="C173" s="9">
        <v>2143</v>
      </c>
      <c r="D173" s="32" t="s">
        <v>175</v>
      </c>
      <c r="E173" s="11" t="s">
        <v>225</v>
      </c>
      <c r="F173" s="12"/>
      <c r="G173" s="13"/>
      <c r="H173" s="14"/>
    </row>
    <row r="174" spans="1:8" ht="42" customHeight="1" x14ac:dyDescent="0.4">
      <c r="A174" s="15"/>
      <c r="B174" s="9">
        <v>174</v>
      </c>
      <c r="C174" s="9">
        <v>516</v>
      </c>
      <c r="D174" s="32" t="s">
        <v>175</v>
      </c>
      <c r="E174" s="11" t="s">
        <v>226</v>
      </c>
      <c r="F174" s="12"/>
      <c r="G174" s="13" t="s">
        <v>9</v>
      </c>
      <c r="H174" s="14"/>
    </row>
    <row r="175" spans="1:8" s="17" customFormat="1" ht="43.5" customHeight="1" x14ac:dyDescent="0.4">
      <c r="A175" s="15"/>
      <c r="B175" s="9">
        <v>175</v>
      </c>
      <c r="C175" s="9">
        <v>5127</v>
      </c>
      <c r="D175" s="32" t="s">
        <v>175</v>
      </c>
      <c r="E175" s="11" t="s">
        <v>227</v>
      </c>
      <c r="F175" s="12"/>
      <c r="G175" s="13" t="s">
        <v>9</v>
      </c>
      <c r="H175" s="14"/>
    </row>
    <row r="176" spans="1:8" s="17" customFormat="1" ht="43.5" customHeight="1" x14ac:dyDescent="0.4">
      <c r="A176" s="15"/>
      <c r="B176" s="9">
        <v>176</v>
      </c>
      <c r="C176" s="9">
        <v>5019</v>
      </c>
      <c r="D176" s="32" t="s">
        <v>175</v>
      </c>
      <c r="E176" s="11" t="s">
        <v>228</v>
      </c>
      <c r="F176" s="12"/>
      <c r="G176" s="13" t="s">
        <v>9</v>
      </c>
      <c r="H176" s="14"/>
    </row>
    <row r="177" spans="1:9" s="17" customFormat="1" ht="43.5" customHeight="1" x14ac:dyDescent="0.4">
      <c r="A177" s="15"/>
      <c r="B177" s="9">
        <v>177</v>
      </c>
      <c r="C177" s="9">
        <v>1680</v>
      </c>
      <c r="D177" s="32" t="s">
        <v>175</v>
      </c>
      <c r="E177" s="11" t="s">
        <v>229</v>
      </c>
      <c r="F177" s="12"/>
      <c r="G177" s="13" t="s">
        <v>9</v>
      </c>
      <c r="H177" s="14"/>
    </row>
    <row r="178" spans="1:9" s="17" customFormat="1" ht="42.75" customHeight="1" x14ac:dyDescent="0.4">
      <c r="A178" s="15"/>
      <c r="B178" s="9">
        <v>178</v>
      </c>
      <c r="C178" s="9">
        <v>4699</v>
      </c>
      <c r="D178" s="32" t="s">
        <v>175</v>
      </c>
      <c r="E178" s="11" t="s">
        <v>230</v>
      </c>
      <c r="F178" s="12"/>
      <c r="G178" s="13" t="s">
        <v>9</v>
      </c>
      <c r="H178" s="14"/>
    </row>
    <row r="179" spans="1:9" ht="44.25" customHeight="1" x14ac:dyDescent="0.4">
      <c r="A179" s="15"/>
      <c r="B179" s="9">
        <v>179</v>
      </c>
      <c r="C179" s="9">
        <v>2181</v>
      </c>
      <c r="D179" s="32" t="s">
        <v>175</v>
      </c>
      <c r="E179" s="11" t="s">
        <v>231</v>
      </c>
      <c r="F179" s="12"/>
      <c r="G179" s="13" t="s">
        <v>9</v>
      </c>
      <c r="H179" s="14"/>
    </row>
    <row r="180" spans="1:9" ht="44.25" customHeight="1" x14ac:dyDescent="0.4">
      <c r="A180" s="15"/>
      <c r="B180" s="9">
        <v>180</v>
      </c>
      <c r="C180" s="9">
        <v>5206</v>
      </c>
      <c r="D180" s="32" t="s">
        <v>175</v>
      </c>
      <c r="E180" s="11" t="s">
        <v>232</v>
      </c>
      <c r="F180" s="12"/>
      <c r="G180" s="13" t="s">
        <v>9</v>
      </c>
      <c r="H180" s="14"/>
    </row>
    <row r="181" spans="1:9" ht="44.25" customHeight="1" x14ac:dyDescent="0.4">
      <c r="A181" s="15"/>
      <c r="B181" s="9">
        <v>181</v>
      </c>
      <c r="C181" s="9">
        <v>5303</v>
      </c>
      <c r="D181" s="32" t="s">
        <v>175</v>
      </c>
      <c r="E181" s="11" t="s">
        <v>233</v>
      </c>
      <c r="F181" s="20" t="s">
        <v>53</v>
      </c>
      <c r="G181" s="13"/>
      <c r="H181" s="14"/>
    </row>
    <row r="182" spans="1:9" ht="44.25" customHeight="1" x14ac:dyDescent="0.4">
      <c r="A182" s="15"/>
      <c r="B182" s="9">
        <v>182</v>
      </c>
      <c r="C182" s="9">
        <v>5302</v>
      </c>
      <c r="D182" s="32" t="s">
        <v>175</v>
      </c>
      <c r="E182" s="11" t="s">
        <v>234</v>
      </c>
      <c r="F182" s="12" t="s">
        <v>9</v>
      </c>
      <c r="G182" s="13"/>
      <c r="H182" s="14"/>
    </row>
    <row r="183" spans="1:9" ht="44.25" customHeight="1" x14ac:dyDescent="0.4">
      <c r="A183" s="15"/>
      <c r="B183" s="9">
        <v>183</v>
      </c>
      <c r="C183" s="9">
        <v>654</v>
      </c>
      <c r="D183" s="32" t="s">
        <v>175</v>
      </c>
      <c r="E183" s="11" t="s">
        <v>235</v>
      </c>
      <c r="F183" s="12"/>
      <c r="G183" s="13"/>
      <c r="H183" s="14"/>
    </row>
    <row r="184" spans="1:9" ht="44.25" customHeight="1" x14ac:dyDescent="0.4">
      <c r="A184" s="15"/>
      <c r="B184" s="9">
        <v>184</v>
      </c>
      <c r="C184" s="9">
        <v>5196</v>
      </c>
      <c r="D184" s="33" t="s">
        <v>175</v>
      </c>
      <c r="E184" s="11" t="s">
        <v>236</v>
      </c>
      <c r="F184" s="12"/>
      <c r="G184" s="13" t="s">
        <v>9</v>
      </c>
      <c r="H184" s="14"/>
    </row>
    <row r="185" spans="1:9" ht="44.25" customHeight="1" x14ac:dyDescent="0.4">
      <c r="A185" s="15"/>
      <c r="B185" s="9">
        <v>185</v>
      </c>
      <c r="C185" s="9">
        <v>3859</v>
      </c>
      <c r="D185" s="32" t="s">
        <v>175</v>
      </c>
      <c r="E185" s="11" t="s">
        <v>237</v>
      </c>
      <c r="F185" s="12" t="s">
        <v>9</v>
      </c>
      <c r="G185" s="13" t="s">
        <v>9</v>
      </c>
      <c r="H185" s="14"/>
    </row>
    <row r="186" spans="1:9" ht="39" customHeight="1" x14ac:dyDescent="0.4">
      <c r="A186" s="15"/>
      <c r="B186" s="9">
        <v>186</v>
      </c>
      <c r="C186" s="9">
        <v>2533</v>
      </c>
      <c r="D186" s="32" t="s">
        <v>175</v>
      </c>
      <c r="E186" s="11" t="s">
        <v>238</v>
      </c>
      <c r="F186" s="12"/>
      <c r="G186" s="13"/>
      <c r="H186" s="14"/>
    </row>
    <row r="187" spans="1:9" ht="39" customHeight="1" x14ac:dyDescent="0.4">
      <c r="A187" s="15"/>
      <c r="B187" s="9">
        <v>187</v>
      </c>
      <c r="C187" s="9">
        <v>5104</v>
      </c>
      <c r="D187" s="32" t="s">
        <v>175</v>
      </c>
      <c r="E187" s="11" t="s">
        <v>239</v>
      </c>
      <c r="F187" s="12"/>
      <c r="G187" s="13" t="s">
        <v>9</v>
      </c>
      <c r="H187" s="14"/>
    </row>
    <row r="188" spans="1:9" ht="39" customHeight="1" x14ac:dyDescent="0.4">
      <c r="A188" s="15"/>
      <c r="B188" s="9">
        <v>188</v>
      </c>
      <c r="C188" s="9">
        <v>53</v>
      </c>
      <c r="D188" s="32" t="s">
        <v>175</v>
      </c>
      <c r="E188" s="11" t="s">
        <v>240</v>
      </c>
      <c r="F188" s="12"/>
      <c r="G188" s="13"/>
      <c r="H188" s="14"/>
    </row>
    <row r="189" spans="1:9" ht="42.75" customHeight="1" x14ac:dyDescent="0.4">
      <c r="A189" s="15"/>
      <c r="B189" s="9">
        <v>189</v>
      </c>
      <c r="C189" s="9">
        <v>1567</v>
      </c>
      <c r="D189" s="32" t="s">
        <v>175</v>
      </c>
      <c r="E189" s="11" t="s">
        <v>241</v>
      </c>
      <c r="F189" s="12" t="s">
        <v>9</v>
      </c>
      <c r="G189" s="13" t="s">
        <v>9</v>
      </c>
      <c r="H189" s="14"/>
    </row>
    <row r="190" spans="1:9" ht="42.75" customHeight="1" x14ac:dyDescent="0.4">
      <c r="A190" s="15"/>
      <c r="B190" s="9">
        <v>190</v>
      </c>
      <c r="C190" s="9">
        <v>5281</v>
      </c>
      <c r="D190" s="32" t="s">
        <v>175</v>
      </c>
      <c r="E190" s="11" t="s">
        <v>242</v>
      </c>
      <c r="F190" s="12"/>
      <c r="G190" s="13" t="s">
        <v>9</v>
      </c>
      <c r="H190" s="14"/>
    </row>
    <row r="191" spans="1:9" ht="40.5" customHeight="1" x14ac:dyDescent="0.4">
      <c r="A191" s="15"/>
      <c r="B191" s="9">
        <v>191</v>
      </c>
      <c r="C191" s="9">
        <v>3101</v>
      </c>
      <c r="D191" s="32" t="s">
        <v>175</v>
      </c>
      <c r="E191" s="11" t="s">
        <v>243</v>
      </c>
      <c r="F191" s="12"/>
      <c r="G191" s="13"/>
      <c r="H191" s="14"/>
      <c r="I191" s="16"/>
    </row>
    <row r="192" spans="1:9" ht="40.5" customHeight="1" x14ac:dyDescent="0.4">
      <c r="A192" s="15"/>
      <c r="B192" s="9">
        <v>192</v>
      </c>
      <c r="C192" s="9">
        <v>5084</v>
      </c>
      <c r="D192" s="32" t="s">
        <v>175</v>
      </c>
      <c r="E192" s="11" t="s">
        <v>244</v>
      </c>
      <c r="F192" s="12"/>
      <c r="G192" s="13"/>
      <c r="H192" s="14"/>
      <c r="I192" s="16"/>
    </row>
    <row r="193" spans="1:8" ht="42" customHeight="1" x14ac:dyDescent="0.4">
      <c r="A193" s="15"/>
      <c r="B193" s="9">
        <v>193</v>
      </c>
      <c r="C193" s="9">
        <v>1170</v>
      </c>
      <c r="D193" s="32" t="s">
        <v>175</v>
      </c>
      <c r="E193" s="11" t="s">
        <v>245</v>
      </c>
      <c r="F193" s="12"/>
      <c r="G193" s="13" t="s">
        <v>9</v>
      </c>
      <c r="H193" s="14"/>
    </row>
    <row r="194" spans="1:8" ht="42" customHeight="1" x14ac:dyDescent="0.4">
      <c r="A194" s="15"/>
      <c r="B194" s="9">
        <v>194</v>
      </c>
      <c r="C194" s="9">
        <v>3267</v>
      </c>
      <c r="D194" s="32" t="s">
        <v>175</v>
      </c>
      <c r="E194" s="11" t="s">
        <v>246</v>
      </c>
      <c r="F194" s="12" t="s">
        <v>9</v>
      </c>
      <c r="G194" s="13"/>
      <c r="H194" s="14"/>
    </row>
    <row r="195" spans="1:8" ht="42" customHeight="1" x14ac:dyDescent="0.4">
      <c r="A195" s="15"/>
      <c r="B195" s="9">
        <v>195</v>
      </c>
      <c r="C195" s="9">
        <v>3266</v>
      </c>
      <c r="D195" s="32" t="s">
        <v>175</v>
      </c>
      <c r="E195" s="11" t="s">
        <v>247</v>
      </c>
      <c r="F195" s="12"/>
      <c r="G195" s="13" t="s">
        <v>9</v>
      </c>
      <c r="H195" s="14"/>
    </row>
    <row r="196" spans="1:8" ht="42" customHeight="1" x14ac:dyDescent="0.4">
      <c r="A196" s="15"/>
      <c r="B196" s="9">
        <v>196</v>
      </c>
      <c r="C196" s="9">
        <v>5047</v>
      </c>
      <c r="D196" s="32" t="s">
        <v>175</v>
      </c>
      <c r="E196" s="11" t="s">
        <v>248</v>
      </c>
      <c r="F196" s="12"/>
      <c r="G196" s="13"/>
      <c r="H196" s="14"/>
    </row>
    <row r="197" spans="1:8" ht="42" customHeight="1" x14ac:dyDescent="0.4">
      <c r="A197" s="15"/>
      <c r="B197" s="9">
        <v>197</v>
      </c>
      <c r="C197" s="9">
        <v>3488</v>
      </c>
      <c r="D197" s="32" t="s">
        <v>175</v>
      </c>
      <c r="E197" s="11" t="s">
        <v>249</v>
      </c>
      <c r="F197" s="12"/>
      <c r="G197" s="13" t="s">
        <v>9</v>
      </c>
      <c r="H197" s="14"/>
    </row>
    <row r="198" spans="1:8" ht="42" customHeight="1" x14ac:dyDescent="0.4">
      <c r="A198" s="15"/>
      <c r="B198" s="9">
        <v>198</v>
      </c>
      <c r="C198" s="9">
        <v>2102</v>
      </c>
      <c r="D198" s="32" t="s">
        <v>175</v>
      </c>
      <c r="E198" s="11" t="s">
        <v>250</v>
      </c>
      <c r="F198" s="22"/>
      <c r="G198" s="23" t="s">
        <v>77</v>
      </c>
      <c r="H198" s="14"/>
    </row>
    <row r="199" spans="1:8" ht="41.25" customHeight="1" x14ac:dyDescent="0.4">
      <c r="A199" s="15"/>
      <c r="B199" s="9">
        <v>199</v>
      </c>
      <c r="C199" s="9">
        <v>2222</v>
      </c>
      <c r="D199" s="32" t="s">
        <v>175</v>
      </c>
      <c r="E199" s="11" t="s">
        <v>251</v>
      </c>
      <c r="F199" s="12"/>
      <c r="G199" s="13"/>
      <c r="H199" s="14"/>
    </row>
    <row r="200" spans="1:8" ht="41.25" customHeight="1" x14ac:dyDescent="0.4">
      <c r="A200" s="15"/>
      <c r="B200" s="9">
        <v>200</v>
      </c>
      <c r="C200" s="9">
        <v>3511</v>
      </c>
      <c r="D200" s="32" t="s">
        <v>175</v>
      </c>
      <c r="E200" s="11" t="s">
        <v>252</v>
      </c>
      <c r="F200" s="12" t="s">
        <v>9</v>
      </c>
      <c r="G200" s="13"/>
      <c r="H200" s="14"/>
    </row>
    <row r="201" spans="1:8" ht="41.25" customHeight="1" x14ac:dyDescent="0.4">
      <c r="A201" s="15"/>
      <c r="B201" s="9">
        <v>201</v>
      </c>
      <c r="C201" s="9">
        <v>5073</v>
      </c>
      <c r="D201" s="32" t="s">
        <v>175</v>
      </c>
      <c r="E201" s="11" t="s">
        <v>253</v>
      </c>
      <c r="F201" s="12"/>
      <c r="G201" s="13" t="s">
        <v>9</v>
      </c>
      <c r="H201" s="14"/>
    </row>
    <row r="202" spans="1:8" ht="41.25" customHeight="1" x14ac:dyDescent="0.4">
      <c r="A202" s="15"/>
      <c r="B202" s="9">
        <v>202</v>
      </c>
      <c r="C202" s="9">
        <v>3516</v>
      </c>
      <c r="D202" s="32" t="s">
        <v>175</v>
      </c>
      <c r="E202" s="11" t="s">
        <v>254</v>
      </c>
      <c r="F202" s="12"/>
      <c r="G202" s="13"/>
      <c r="H202" s="14"/>
    </row>
    <row r="203" spans="1:8" ht="41.25" customHeight="1" x14ac:dyDescent="0.4">
      <c r="A203" s="15"/>
      <c r="B203" s="9">
        <v>203</v>
      </c>
      <c r="C203" s="9">
        <v>5265</v>
      </c>
      <c r="D203" s="32" t="s">
        <v>175</v>
      </c>
      <c r="E203" s="11" t="s">
        <v>255</v>
      </c>
      <c r="F203" s="12"/>
      <c r="G203" s="13" t="s">
        <v>9</v>
      </c>
      <c r="H203" s="14"/>
    </row>
    <row r="204" spans="1:8" ht="39.75" customHeight="1" x14ac:dyDescent="0.4">
      <c r="A204" s="15"/>
      <c r="B204" s="9">
        <v>204</v>
      </c>
      <c r="C204" s="9">
        <v>1192</v>
      </c>
      <c r="D204" s="32" t="s">
        <v>175</v>
      </c>
      <c r="E204" s="11" t="s">
        <v>256</v>
      </c>
      <c r="F204" s="12" t="s">
        <v>9</v>
      </c>
      <c r="G204" s="13"/>
      <c r="H204" s="14"/>
    </row>
    <row r="205" spans="1:8" ht="39.75" customHeight="1" x14ac:dyDescent="0.4">
      <c r="A205" s="15"/>
      <c r="B205" s="9">
        <v>205</v>
      </c>
      <c r="C205" s="9">
        <v>2371</v>
      </c>
      <c r="D205" s="32" t="s">
        <v>175</v>
      </c>
      <c r="E205" s="11" t="s">
        <v>257</v>
      </c>
      <c r="F205" s="12"/>
      <c r="G205" s="13"/>
      <c r="H205" s="14"/>
    </row>
    <row r="206" spans="1:8" ht="39.75" customHeight="1" x14ac:dyDescent="0.4">
      <c r="A206" s="15"/>
      <c r="B206" s="9">
        <v>206</v>
      </c>
      <c r="C206" s="9">
        <v>2532</v>
      </c>
      <c r="D206" s="32" t="s">
        <v>175</v>
      </c>
      <c r="E206" s="11" t="s">
        <v>258</v>
      </c>
      <c r="F206" s="12"/>
      <c r="G206" s="13"/>
      <c r="H206" s="14"/>
    </row>
    <row r="207" spans="1:8" ht="39.75" customHeight="1" x14ac:dyDescent="0.4">
      <c r="A207" s="15"/>
      <c r="B207" s="9">
        <v>207</v>
      </c>
      <c r="C207" s="9">
        <v>1693</v>
      </c>
      <c r="D207" s="32" t="s">
        <v>175</v>
      </c>
      <c r="E207" s="11" t="s">
        <v>259</v>
      </c>
      <c r="F207" s="12"/>
      <c r="G207" s="13"/>
      <c r="H207" s="14"/>
    </row>
    <row r="208" spans="1:8" ht="36" customHeight="1" x14ac:dyDescent="0.4">
      <c r="A208" s="15"/>
      <c r="B208" s="9">
        <v>208</v>
      </c>
      <c r="C208" s="9">
        <v>4703</v>
      </c>
      <c r="D208" s="32" t="s">
        <v>175</v>
      </c>
      <c r="E208" s="11" t="s">
        <v>260</v>
      </c>
      <c r="F208" s="12"/>
      <c r="G208" s="13"/>
      <c r="H208" s="14"/>
    </row>
    <row r="209" spans="1:8" ht="36" customHeight="1" x14ac:dyDescent="0.4">
      <c r="A209" s="15"/>
      <c r="B209" s="9">
        <v>209</v>
      </c>
      <c r="C209" s="9">
        <v>5044</v>
      </c>
      <c r="D209" s="32" t="s">
        <v>175</v>
      </c>
      <c r="E209" s="11" t="s">
        <v>261</v>
      </c>
      <c r="F209" s="12"/>
      <c r="G209" s="13" t="s">
        <v>9</v>
      </c>
      <c r="H209" s="14"/>
    </row>
    <row r="210" spans="1:8" ht="41.25" customHeight="1" x14ac:dyDescent="0.4">
      <c r="A210" s="15"/>
      <c r="B210" s="9">
        <v>210</v>
      </c>
      <c r="C210" s="9">
        <v>2448</v>
      </c>
      <c r="D210" s="32" t="s">
        <v>175</v>
      </c>
      <c r="E210" s="11" t="s">
        <v>262</v>
      </c>
      <c r="F210" s="12"/>
      <c r="G210" s="13"/>
      <c r="H210" s="14"/>
    </row>
    <row r="211" spans="1:8" ht="41.25" customHeight="1" x14ac:dyDescent="0.4">
      <c r="A211" s="15"/>
      <c r="B211" s="9">
        <v>211</v>
      </c>
      <c r="C211" s="9">
        <v>4874</v>
      </c>
      <c r="D211" s="32" t="s">
        <v>175</v>
      </c>
      <c r="E211" s="11" t="s">
        <v>263</v>
      </c>
      <c r="F211" s="12" t="s">
        <v>9</v>
      </c>
      <c r="G211" s="13" t="s">
        <v>9</v>
      </c>
      <c r="H211" s="14"/>
    </row>
    <row r="212" spans="1:8" ht="41.25" customHeight="1" x14ac:dyDescent="0.4">
      <c r="A212" s="15"/>
      <c r="B212" s="9">
        <v>212</v>
      </c>
      <c r="C212" s="9">
        <v>5116</v>
      </c>
      <c r="D212" s="32" t="s">
        <v>175</v>
      </c>
      <c r="E212" s="11" t="s">
        <v>264</v>
      </c>
      <c r="F212" s="12"/>
      <c r="G212" s="13"/>
      <c r="H212" s="14"/>
    </row>
    <row r="213" spans="1:8" ht="43.5" customHeight="1" x14ac:dyDescent="0.4">
      <c r="A213" s="15"/>
      <c r="B213" s="9">
        <v>213</v>
      </c>
      <c r="C213" s="9">
        <v>131</v>
      </c>
      <c r="D213" s="32" t="s">
        <v>175</v>
      </c>
      <c r="E213" s="11" t="s">
        <v>265</v>
      </c>
      <c r="F213" s="12"/>
      <c r="G213" s="13" t="s">
        <v>9</v>
      </c>
      <c r="H213" s="14"/>
    </row>
    <row r="214" spans="1:8" ht="36.75" customHeight="1" x14ac:dyDescent="0.4">
      <c r="A214" s="15"/>
      <c r="B214" s="9">
        <v>214</v>
      </c>
      <c r="C214" s="9">
        <v>2427</v>
      </c>
      <c r="D214" s="32" t="s">
        <v>175</v>
      </c>
      <c r="E214" s="11" t="s">
        <v>266</v>
      </c>
      <c r="F214" s="12"/>
      <c r="G214" s="13" t="s">
        <v>9</v>
      </c>
      <c r="H214" s="14"/>
    </row>
    <row r="215" spans="1:8" ht="36.75" customHeight="1" x14ac:dyDescent="0.4">
      <c r="A215" s="15"/>
      <c r="B215" s="9">
        <v>215</v>
      </c>
      <c r="C215" s="9">
        <v>5076</v>
      </c>
      <c r="D215" s="32" t="s">
        <v>175</v>
      </c>
      <c r="E215" s="11" t="s">
        <v>267</v>
      </c>
      <c r="F215" s="12" t="s">
        <v>9</v>
      </c>
      <c r="G215" s="13"/>
      <c r="H215" s="14"/>
    </row>
    <row r="216" spans="1:8" ht="36.75" customHeight="1" x14ac:dyDescent="0.4">
      <c r="A216" s="15"/>
      <c r="B216" s="9">
        <v>216</v>
      </c>
      <c r="C216" s="9">
        <v>3546</v>
      </c>
      <c r="D216" s="32" t="s">
        <v>175</v>
      </c>
      <c r="E216" s="11" t="s">
        <v>268</v>
      </c>
      <c r="F216" s="22"/>
      <c r="G216" s="23" t="s">
        <v>72</v>
      </c>
      <c r="H216" s="14"/>
    </row>
    <row r="217" spans="1:8" ht="36.75" customHeight="1" x14ac:dyDescent="0.4">
      <c r="A217" s="15"/>
      <c r="B217" s="9">
        <v>217</v>
      </c>
      <c r="C217" s="9">
        <v>5059</v>
      </c>
      <c r="D217" s="32" t="s">
        <v>175</v>
      </c>
      <c r="E217" s="11" t="s">
        <v>269</v>
      </c>
      <c r="F217" s="12" t="s">
        <v>9</v>
      </c>
      <c r="G217" s="13"/>
      <c r="H217" s="14"/>
    </row>
    <row r="218" spans="1:8" ht="38.25" customHeight="1" x14ac:dyDescent="0.4">
      <c r="A218" s="15"/>
      <c r="B218" s="9">
        <v>218</v>
      </c>
      <c r="C218" s="9">
        <v>3050</v>
      </c>
      <c r="D218" s="32" t="s">
        <v>175</v>
      </c>
      <c r="E218" s="11" t="s">
        <v>270</v>
      </c>
      <c r="F218" s="12"/>
      <c r="G218" s="13" t="s">
        <v>9</v>
      </c>
      <c r="H218" s="14"/>
    </row>
    <row r="219" spans="1:8" ht="38.25" customHeight="1" x14ac:dyDescent="0.4">
      <c r="A219" s="15"/>
      <c r="B219" s="9">
        <v>219</v>
      </c>
      <c r="C219" s="9">
        <v>1037</v>
      </c>
      <c r="D219" s="32" t="s">
        <v>175</v>
      </c>
      <c r="E219" s="11" t="s">
        <v>271</v>
      </c>
      <c r="F219" s="12"/>
      <c r="G219" s="13"/>
      <c r="H219" s="14"/>
    </row>
    <row r="220" spans="1:8" ht="38.25" customHeight="1" x14ac:dyDescent="0.4">
      <c r="A220" s="15"/>
      <c r="B220" s="9">
        <v>220</v>
      </c>
      <c r="C220" s="9">
        <v>4321</v>
      </c>
      <c r="D220" s="32" t="s">
        <v>175</v>
      </c>
      <c r="E220" s="11" t="s">
        <v>272</v>
      </c>
      <c r="F220" s="12"/>
      <c r="G220" s="13" t="s">
        <v>9</v>
      </c>
      <c r="H220" s="14"/>
    </row>
    <row r="221" spans="1:8" ht="48" customHeight="1" x14ac:dyDescent="0.4">
      <c r="A221" s="15"/>
      <c r="B221" s="9">
        <v>221</v>
      </c>
      <c r="C221" s="9">
        <v>3860</v>
      </c>
      <c r="D221" s="32" t="s">
        <v>175</v>
      </c>
      <c r="E221" s="11" t="s">
        <v>273</v>
      </c>
      <c r="F221" s="12"/>
      <c r="G221" s="13" t="s">
        <v>9</v>
      </c>
      <c r="H221" s="14"/>
    </row>
    <row r="222" spans="1:8" ht="38.25" customHeight="1" x14ac:dyDescent="0.4">
      <c r="A222" s="15"/>
      <c r="B222" s="9">
        <v>222</v>
      </c>
      <c r="C222" s="9">
        <v>1137</v>
      </c>
      <c r="D222" s="32" t="s">
        <v>175</v>
      </c>
      <c r="E222" s="11" t="s">
        <v>274</v>
      </c>
      <c r="F222" s="12"/>
      <c r="G222" s="13"/>
      <c r="H222" s="14"/>
    </row>
    <row r="223" spans="1:8" ht="38.25" customHeight="1" x14ac:dyDescent="0.4">
      <c r="A223" s="15"/>
      <c r="B223" s="9">
        <v>223</v>
      </c>
      <c r="C223" s="9">
        <v>3519</v>
      </c>
      <c r="D223" s="32" t="s">
        <v>175</v>
      </c>
      <c r="E223" s="11" t="s">
        <v>275</v>
      </c>
      <c r="F223" s="12"/>
      <c r="G223" s="13" t="s">
        <v>9</v>
      </c>
      <c r="H223" s="14"/>
    </row>
    <row r="224" spans="1:8" ht="38.25" customHeight="1" x14ac:dyDescent="0.4">
      <c r="A224" s="15"/>
      <c r="B224" s="9">
        <v>224</v>
      </c>
      <c r="C224" s="9">
        <v>5306</v>
      </c>
      <c r="D224" s="32" t="s">
        <v>175</v>
      </c>
      <c r="E224" s="11" t="s">
        <v>276</v>
      </c>
      <c r="F224" s="12"/>
      <c r="G224" s="13"/>
      <c r="H224" s="14"/>
    </row>
    <row r="225" spans="1:11" ht="39" customHeight="1" x14ac:dyDescent="0.4">
      <c r="A225" s="15"/>
      <c r="B225" s="9">
        <v>225</v>
      </c>
      <c r="C225" s="9">
        <v>1156</v>
      </c>
      <c r="D225" s="32" t="s">
        <v>175</v>
      </c>
      <c r="E225" s="11" t="s">
        <v>277</v>
      </c>
      <c r="F225" s="12"/>
      <c r="G225" s="13" t="s">
        <v>9</v>
      </c>
      <c r="H225" s="14"/>
    </row>
    <row r="226" spans="1:11" ht="38.25" customHeight="1" x14ac:dyDescent="0.4">
      <c r="A226" s="15"/>
      <c r="B226" s="9">
        <v>226</v>
      </c>
      <c r="C226" s="9">
        <v>3544</v>
      </c>
      <c r="D226" s="32" t="s">
        <v>175</v>
      </c>
      <c r="E226" s="11" t="s">
        <v>278</v>
      </c>
      <c r="F226" s="12" t="s">
        <v>9</v>
      </c>
      <c r="G226" s="13"/>
      <c r="H226" s="14"/>
    </row>
    <row r="227" spans="1:11" ht="38.25" customHeight="1" x14ac:dyDescent="0.4">
      <c r="A227" s="15"/>
      <c r="B227" s="9">
        <v>227</v>
      </c>
      <c r="C227" s="9">
        <v>4231</v>
      </c>
      <c r="D227" s="32" t="s">
        <v>175</v>
      </c>
      <c r="E227" s="11" t="s">
        <v>279</v>
      </c>
      <c r="F227" s="12"/>
      <c r="G227" s="13"/>
      <c r="H227" s="14"/>
    </row>
    <row r="228" spans="1:11" ht="38.25" customHeight="1" x14ac:dyDescent="0.4">
      <c r="A228" s="15"/>
      <c r="B228" s="9">
        <v>228</v>
      </c>
      <c r="C228" s="9">
        <v>4264</v>
      </c>
      <c r="D228" s="32" t="s">
        <v>175</v>
      </c>
      <c r="E228" s="11" t="s">
        <v>280</v>
      </c>
      <c r="F228" s="12"/>
      <c r="G228" s="13"/>
      <c r="H228" s="14"/>
    </row>
    <row r="229" spans="1:11" ht="38.25" customHeight="1" x14ac:dyDescent="0.4">
      <c r="A229" s="15"/>
      <c r="B229" s="9">
        <v>229</v>
      </c>
      <c r="C229" s="9">
        <v>3935</v>
      </c>
      <c r="D229" s="32" t="s">
        <v>175</v>
      </c>
      <c r="E229" s="11" t="s">
        <v>281</v>
      </c>
      <c r="F229" s="12"/>
      <c r="G229" s="13"/>
      <c r="H229" s="14"/>
    </row>
    <row r="230" spans="1:11" ht="18.75" customHeight="1" x14ac:dyDescent="0.4">
      <c r="C230" s="35"/>
      <c r="D230" s="35"/>
      <c r="E230" s="35"/>
      <c r="F230" s="36">
        <f>COUNTA(F2:F229)</f>
        <v>45</v>
      </c>
      <c r="G230" s="36">
        <f>COUNTA(G2:G229)</f>
        <v>165</v>
      </c>
      <c r="H230" s="36"/>
    </row>
    <row r="231" spans="1:11" ht="18.75" customHeight="1" x14ac:dyDescent="0.4">
      <c r="C231" s="37"/>
      <c r="D231" s="37"/>
      <c r="E231" s="37"/>
      <c r="G231" s="36"/>
      <c r="H231" s="36"/>
    </row>
    <row r="232" spans="1:11" s="8" customFormat="1" x14ac:dyDescent="0.4">
      <c r="A232"/>
      <c r="B232" s="34"/>
      <c r="C232" s="34"/>
      <c r="E232" s="40"/>
      <c r="I232"/>
      <c r="J232"/>
      <c r="K232"/>
    </row>
    <row r="233" spans="1:11" s="8" customFormat="1" x14ac:dyDescent="0.4">
      <c r="A233"/>
      <c r="B233" s="34"/>
      <c r="C233" s="34"/>
      <c r="D233" s="8" t="s">
        <v>282</v>
      </c>
      <c r="E233" s="40">
        <f>COUNTA(E2:E229)</f>
        <v>228</v>
      </c>
      <c r="G233" s="47" t="s">
        <v>287</v>
      </c>
    </row>
    <row r="234" spans="1:11" s="8" customFormat="1" x14ac:dyDescent="0.4">
      <c r="A234"/>
      <c r="B234" s="34"/>
      <c r="C234" s="34"/>
      <c r="D234" s="8" t="s">
        <v>283</v>
      </c>
      <c r="E234" s="40">
        <f>(COUNTIF(F2:F229,"○")+COUNTIF(G2:G229,"○")-COUNTIFS(F2:F229,"○",G2:G229,"○"))</f>
        <v>178</v>
      </c>
      <c r="G234" s="47" t="s">
        <v>288</v>
      </c>
    </row>
    <row r="235" spans="1:11" s="8" customFormat="1" x14ac:dyDescent="0.4">
      <c r="A235"/>
      <c r="B235" s="34"/>
      <c r="C235" s="34"/>
      <c r="D235" s="8" t="s">
        <v>284</v>
      </c>
      <c r="E235" s="43">
        <f>(COUNTIF(F2:F229,"○")+COUNTIF(G2:G229,"○")-COUNTIFS(F2:F229,"○",G2:G229,"○"))/COUNTA(E2:E229)</f>
        <v>0.7807017543859649</v>
      </c>
      <c r="F235" s="42"/>
      <c r="G235" s="47" t="s">
        <v>291</v>
      </c>
      <c r="H235" s="42"/>
      <c r="I235" s="42"/>
      <c r="J235" s="42"/>
    </row>
    <row r="236" spans="1:11" s="8" customFormat="1" x14ac:dyDescent="0.4">
      <c r="A236"/>
      <c r="B236" s="34"/>
      <c r="C236" s="34"/>
      <c r="D236" s="8" t="s">
        <v>285</v>
      </c>
      <c r="E236" s="40">
        <f>COUNTIF(H2:H229,"Ⅳ")+COUNTIF(H2:H229,"M")</f>
        <v>0</v>
      </c>
      <c r="G236" s="47" t="s">
        <v>289</v>
      </c>
    </row>
    <row r="237" spans="1:11" s="8" customFormat="1" x14ac:dyDescent="0.4">
      <c r="A237"/>
      <c r="B237" s="34"/>
      <c r="C237" s="34"/>
      <c r="D237" s="8" t="s">
        <v>286</v>
      </c>
      <c r="E237" s="43">
        <f>E236/E233</f>
        <v>0</v>
      </c>
      <c r="G237" s="47" t="s">
        <v>290</v>
      </c>
    </row>
    <row r="238" spans="1:11" s="8" customFormat="1" x14ac:dyDescent="0.4">
      <c r="A238"/>
      <c r="B238" s="34"/>
      <c r="C238" s="34"/>
      <c r="E238" s="40"/>
      <c r="G238" s="48"/>
    </row>
    <row r="239" spans="1:11" s="8" customFormat="1" x14ac:dyDescent="0.4">
      <c r="A239"/>
      <c r="B239" s="34"/>
      <c r="C239" s="34"/>
      <c r="D239" s="8" t="s">
        <v>292</v>
      </c>
      <c r="E239" s="45" t="str">
        <f>IF(E237&gt;=0.4,"15％","20％")</f>
        <v>20％</v>
      </c>
      <c r="G239" s="47" t="s">
        <v>294</v>
      </c>
    </row>
    <row r="240" spans="1:11" s="8" customFormat="1" x14ac:dyDescent="0.4">
      <c r="A240"/>
      <c r="B240" s="34"/>
      <c r="C240" s="34"/>
      <c r="D240" s="8" t="s">
        <v>293</v>
      </c>
      <c r="E240" s="45" t="str">
        <f>IF(E235&gt;=IF(E237&gt;=0.4,0.15,0.2),"OK","NG")</f>
        <v>OK</v>
      </c>
      <c r="G240" s="47" t="s">
        <v>295</v>
      </c>
    </row>
    <row r="241" spans="1:7" s="8" customFormat="1" x14ac:dyDescent="0.4">
      <c r="A241"/>
      <c r="B241" s="34"/>
      <c r="C241" s="34"/>
      <c r="E241" s="40"/>
      <c r="G241" s="44"/>
    </row>
    <row r="242" spans="1:7" s="8" customFormat="1" x14ac:dyDescent="0.4">
      <c r="A242"/>
      <c r="B242" s="34"/>
      <c r="C242" s="34"/>
      <c r="E242" s="40"/>
      <c r="G242" s="44"/>
    </row>
    <row r="243" spans="1:7" s="8" customFormat="1" x14ac:dyDescent="0.4">
      <c r="A243"/>
      <c r="B243" s="34"/>
      <c r="C243" s="34"/>
      <c r="E243" s="40"/>
      <c r="G243" s="44"/>
    </row>
    <row r="244" spans="1:7" s="8" customFormat="1" x14ac:dyDescent="0.4">
      <c r="A244"/>
      <c r="B244" s="34"/>
      <c r="C244" s="34"/>
      <c r="E244" s="40"/>
      <c r="G244" s="44"/>
    </row>
    <row r="245" spans="1:7" s="8" customFormat="1" x14ac:dyDescent="0.4">
      <c r="A245"/>
      <c r="B245" s="34"/>
      <c r="C245" s="34"/>
      <c r="E245" s="40"/>
      <c r="G245" s="46"/>
    </row>
    <row r="246" spans="1:7" s="8" customFormat="1" x14ac:dyDescent="0.4">
      <c r="A246"/>
      <c r="B246" s="34"/>
      <c r="C246" s="34"/>
      <c r="E246" s="40"/>
      <c r="G246" s="46"/>
    </row>
    <row r="247" spans="1:7" s="8" customFormat="1" x14ac:dyDescent="0.4">
      <c r="A247"/>
      <c r="B247" s="34"/>
      <c r="C247" s="34"/>
      <c r="E247" s="40"/>
      <c r="G247" s="46"/>
    </row>
    <row r="248" spans="1:7" s="8" customFormat="1" x14ac:dyDescent="0.4">
      <c r="A248"/>
      <c r="B248" s="34"/>
      <c r="C248" s="34"/>
      <c r="E248" s="40"/>
    </row>
    <row r="249" spans="1:7" s="8" customFormat="1" x14ac:dyDescent="0.4">
      <c r="A249"/>
      <c r="B249" s="34"/>
      <c r="C249" s="34"/>
      <c r="E249" s="40"/>
    </row>
    <row r="250" spans="1:7" s="8" customFormat="1" x14ac:dyDescent="0.4">
      <c r="A250"/>
      <c r="B250" s="34"/>
      <c r="C250" s="34"/>
      <c r="E250" s="40"/>
    </row>
    <row r="251" spans="1:7" s="8" customFormat="1" x14ac:dyDescent="0.4">
      <c r="A251"/>
      <c r="B251" s="34"/>
      <c r="C251" s="34"/>
      <c r="E251" s="40"/>
    </row>
    <row r="252" spans="1:7" s="8" customFormat="1" x14ac:dyDescent="0.4">
      <c r="A252"/>
      <c r="B252" s="34"/>
      <c r="C252" s="34"/>
      <c r="E252" s="40"/>
    </row>
    <row r="253" spans="1:7" s="8" customFormat="1" x14ac:dyDescent="0.4">
      <c r="A253"/>
      <c r="B253" s="34"/>
      <c r="C253" s="34"/>
      <c r="E253" s="40"/>
    </row>
    <row r="254" spans="1:7" s="8" customFormat="1" x14ac:dyDescent="0.4">
      <c r="A254"/>
      <c r="B254" s="34"/>
      <c r="C254" s="34"/>
      <c r="E254" s="40"/>
    </row>
    <row r="255" spans="1:7" s="8" customFormat="1" x14ac:dyDescent="0.4">
      <c r="A255"/>
      <c r="B255" s="34"/>
      <c r="C255" s="34"/>
      <c r="E255" s="40"/>
    </row>
    <row r="256" spans="1:7" s="8" customFormat="1" x14ac:dyDescent="0.4">
      <c r="A256"/>
      <c r="B256" s="34"/>
      <c r="C256" s="34"/>
      <c r="E256" s="40"/>
    </row>
  </sheetData>
  <autoFilter ref="B1:G231" xr:uid="{00000000-0009-0000-0000-000003000000}"/>
  <dataConsolidate/>
  <phoneticPr fontId="2"/>
  <dataValidations count="3">
    <dataValidation type="list" allowBlank="1" showInputMessage="1" showErrorMessage="1" sqref="D2:D229" xr:uid="{992D2F1B-998E-48A8-BC79-E4DB2B65A297}">
      <formula1>住まい区分</formula1>
    </dataValidation>
    <dataValidation type="list" allowBlank="1" showInputMessage="1" showErrorMessage="1" sqref="D257:D388" xr:uid="{386F0E61-D31F-4E86-B7D1-1701557C7E76}">
      <formula1>#REF!</formula1>
    </dataValidation>
    <dataValidation type="list" allowBlank="1" showInputMessage="1" showErrorMessage="1" sqref="F257:H1048576" xr:uid="{18EE0549-4161-42FC-9444-30A689FA52F9}"/>
  </dataValidations>
  <pageMargins left="0.39370078740157483" right="0" top="0.35433070866141736" bottom="0.15748031496062992" header="0.11811023622047245" footer="0.11811023622047245"/>
  <pageSetup paperSize="9" scale="10" fitToHeight="0" orientation="portrait" horizontalDpi="4294967294" r:id="rId2"/>
  <headerFooter>
    <oddHeader>&amp;C在宅訪問診療患者一覧&amp;R&amp;D現在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R8.4</vt:lpstr>
      <vt:lpstr>R8.4!Print_Titles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mcsi</dc:creator>
  <cp:lastModifiedBy>mcsi</cp:lastModifiedBy>
  <dcterms:created xsi:type="dcterms:W3CDTF">2026-05-01T04:32:12Z</dcterms:created>
  <dcterms:modified xsi:type="dcterms:W3CDTF">2026-05-01T10:09:45Z</dcterms:modified>
</cp:coreProperties>
</file>